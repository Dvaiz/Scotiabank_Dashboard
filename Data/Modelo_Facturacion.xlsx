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stcogroupchile-my.sharepoint.com/personal/clorcat_fastcogroup_com/Documents/Escritorio/Scotiabank/"/>
    </mc:Choice>
  </mc:AlternateContent>
  <xr:revisionPtr revIDLastSave="4" documentId="8_{F2B030AF-7158-44C4-8174-F0BF3D918462}" xr6:coauthVersionLast="47" xr6:coauthVersionMax="47" xr10:uidLastSave="{46A7DE0E-BB79-4519-A8B3-2C31C8B45979}"/>
  <bookViews>
    <workbookView xWindow="-120" yWindow="-120" windowWidth="29040" windowHeight="15840" xr2:uid="{71A258F5-8248-4227-9085-C3124B9E1BF4}"/>
  </bookViews>
  <sheets>
    <sheet name="Bitacor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71" i="1" l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R44" i="1"/>
  <c r="B85" i="1" s="1"/>
  <c r="Q44" i="1"/>
  <c r="B84" i="1" s="1"/>
  <c r="P44" i="1"/>
  <c r="B83" i="1" s="1"/>
  <c r="O44" i="1"/>
  <c r="B82" i="1" s="1"/>
  <c r="N44" i="1"/>
  <c r="B81" i="1" s="1"/>
  <c r="M44" i="1"/>
  <c r="L44" i="1"/>
  <c r="K44" i="1"/>
  <c r="B80" i="1" s="1"/>
  <c r="J44" i="1"/>
  <c r="B79" i="1" s="1"/>
  <c r="I44" i="1"/>
  <c r="C78" i="1" s="1"/>
  <c r="H44" i="1"/>
  <c r="B78" i="1" s="1"/>
  <c r="G44" i="1"/>
  <c r="F44" i="1"/>
  <c r="C77" i="1" s="1"/>
  <c r="E44" i="1"/>
  <c r="B77" i="1" s="1"/>
  <c r="D44" i="1"/>
  <c r="C76" i="1" s="1"/>
  <c r="C86" i="1" s="1"/>
  <c r="C44" i="1"/>
  <c r="B76" i="1" s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G14" i="1"/>
  <c r="G13" i="1"/>
  <c r="G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B4" i="1"/>
  <c r="I5" i="1" l="1"/>
  <c r="H5" i="1"/>
  <c r="J5" i="1" s="1"/>
  <c r="F85" i="1"/>
  <c r="F84" i="1"/>
  <c r="F83" i="1"/>
  <c r="F82" i="1"/>
  <c r="F81" i="1"/>
  <c r="F80" i="1"/>
  <c r="F79" i="1"/>
  <c r="F78" i="1"/>
  <c r="F77" i="1"/>
  <c r="E76" i="1"/>
  <c r="F76" i="1"/>
  <c r="D76" i="1"/>
  <c r="B86" i="1"/>
  <c r="H14" i="1"/>
  <c r="J14" i="1" s="1"/>
  <c r="I14" i="1"/>
  <c r="D85" i="1" s="1"/>
  <c r="I13" i="1"/>
  <c r="D84" i="1" s="1"/>
  <c r="H13" i="1"/>
  <c r="J13" i="1" s="1"/>
  <c r="H12" i="1"/>
  <c r="J12" i="1" s="1"/>
  <c r="I12" i="1"/>
  <c r="D83" i="1" s="1"/>
  <c r="H11" i="1"/>
  <c r="J11" i="1" s="1"/>
  <c r="I11" i="1"/>
  <c r="D82" i="1" s="1"/>
  <c r="K88" i="1"/>
  <c r="G88" i="1"/>
  <c r="H88" i="1"/>
  <c r="L88" i="1"/>
  <c r="M88" i="1" s="1"/>
  <c r="I10" i="1"/>
  <c r="D81" i="1" s="1"/>
  <c r="H10" i="1"/>
  <c r="J10" i="1" s="1"/>
  <c r="G89" i="1"/>
  <c r="H89" i="1"/>
  <c r="K89" i="1"/>
  <c r="L89" i="1"/>
  <c r="M89" i="1" s="1"/>
  <c r="I9" i="1"/>
  <c r="D80" i="1" s="1"/>
  <c r="H9" i="1"/>
  <c r="J9" i="1" s="1"/>
  <c r="I8" i="1"/>
  <c r="D79" i="1" s="1"/>
  <c r="H8" i="1"/>
  <c r="J8" i="1" s="1"/>
  <c r="H7" i="1"/>
  <c r="J7" i="1" s="1"/>
  <c r="I7" i="1"/>
  <c r="D78" i="1" s="1"/>
  <c r="I6" i="1"/>
  <c r="D77" i="1" s="1"/>
  <c r="D86" i="1" s="1"/>
  <c r="H6" i="1"/>
  <c r="J6" i="1" s="1"/>
  <c r="K76" i="1"/>
  <c r="H85" i="1" l="1"/>
  <c r="L85" i="1" s="1"/>
  <c r="G85" i="1"/>
  <c r="G84" i="1"/>
  <c r="H84" i="1"/>
  <c r="L84" i="1" s="1"/>
  <c r="G83" i="1"/>
  <c r="H83" i="1"/>
  <c r="L83" i="1" s="1"/>
  <c r="G82" i="1"/>
  <c r="H82" i="1"/>
  <c r="L82" i="1" s="1"/>
  <c r="H81" i="1"/>
  <c r="L81" i="1" s="1"/>
  <c r="G81" i="1"/>
  <c r="H80" i="1"/>
  <c r="L80" i="1" s="1"/>
  <c r="G80" i="1"/>
  <c r="G79" i="1"/>
  <c r="H79" i="1"/>
  <c r="L79" i="1" s="1"/>
  <c r="H78" i="1"/>
  <c r="L78" i="1" s="1"/>
  <c r="M78" i="1" s="1"/>
  <c r="N78" i="1" s="1"/>
  <c r="G78" i="1"/>
  <c r="G77" i="1"/>
  <c r="H77" i="1"/>
  <c r="L77" i="1" s="1"/>
  <c r="M77" i="1" s="1"/>
  <c r="N77" i="1" s="1"/>
  <c r="H76" i="1"/>
  <c r="F86" i="1"/>
  <c r="G76" i="1"/>
  <c r="K85" i="1"/>
  <c r="E85" i="1"/>
  <c r="K84" i="1"/>
  <c r="E84" i="1"/>
  <c r="K83" i="1"/>
  <c r="E83" i="1"/>
  <c r="K82" i="1"/>
  <c r="E82" i="1"/>
  <c r="K81" i="1"/>
  <c r="E81" i="1"/>
  <c r="K80" i="1"/>
  <c r="E80" i="1"/>
  <c r="K79" i="1"/>
  <c r="E79" i="1"/>
  <c r="K78" i="1"/>
  <c r="E78" i="1"/>
  <c r="K77" i="1"/>
  <c r="K86" i="1" s="1"/>
  <c r="K90" i="1" s="1"/>
  <c r="E77" i="1"/>
  <c r="M83" i="1" l="1"/>
  <c r="N83" i="1" s="1"/>
  <c r="M80" i="1"/>
  <c r="N80" i="1" s="1"/>
  <c r="M82" i="1"/>
  <c r="N82" i="1" s="1"/>
  <c r="M81" i="1"/>
  <c r="N81" i="1" s="1"/>
  <c r="E86" i="1"/>
  <c r="M85" i="1"/>
  <c r="N85" i="1" s="1"/>
  <c r="M84" i="1"/>
  <c r="N84" i="1" s="1"/>
  <c r="M79" i="1"/>
  <c r="N79" i="1" s="1"/>
  <c r="H86" i="1"/>
  <c r="H90" i="1" s="1"/>
  <c r="L76" i="1"/>
  <c r="G86" i="1"/>
  <c r="G90" i="1" s="1"/>
  <c r="M76" i="1" l="1"/>
  <c r="N76" i="1" s="1"/>
  <c r="L86" i="1"/>
  <c r="M86" i="1" l="1"/>
  <c r="N86" i="1" s="1"/>
  <c r="L90" i="1"/>
  <c r="M90" i="1" s="1"/>
  <c r="N90" i="1" s="1"/>
</calcChain>
</file>

<file path=xl/sharedStrings.xml><?xml version="1.0" encoding="utf-8"?>
<sst xmlns="http://schemas.openxmlformats.org/spreadsheetml/2006/main" count="132" uniqueCount="67">
  <si>
    <t>PROYECCIÓN SCOTIABANK</t>
  </si>
  <si>
    <t>PARÁMETROS</t>
  </si>
  <si>
    <t>TARIFAS POR PRODUCTO</t>
  </si>
  <si>
    <t>UF</t>
  </si>
  <si>
    <t>← viene de Parámetros!B5</t>
  </si>
  <si>
    <t>Producto</t>
  </si>
  <si>
    <t>OT</t>
  </si>
  <si>
    <t>Tarifa S/IVA (UF)</t>
  </si>
  <si>
    <t>Tarifa C/IVA (UF)</t>
  </si>
  <si>
    <t>Tarifa S/IVA ($)</t>
  </si>
  <si>
    <t>Tarifa C/IVA ($)</t>
  </si>
  <si>
    <t>Mes actual (1° día)</t>
  </si>
  <si>
    <t>← viene de Parámetros!B9</t>
  </si>
  <si>
    <t>AVANCE EXTERNO</t>
  </si>
  <si>
    <t>Mes anterior (1° día)</t>
  </si>
  <si>
    <t>SEG. DESGRAVAMEN</t>
  </si>
  <si>
    <t>Días hábiles mes actual</t>
  </si>
  <si>
    <t>PAGO FLEXIBLE</t>
  </si>
  <si>
    <t>Días hábiles mes anterior</t>
  </si>
  <si>
    <t>PLAN ZERO OPERA</t>
  </si>
  <si>
    <t>Días trabajados mes actual</t>
  </si>
  <si>
    <t>← automático (cuenta filas con fecha)</t>
  </si>
  <si>
    <t>PLAN ZERO PER</t>
  </si>
  <si>
    <t>Pago Backoffice fijo</t>
  </si>
  <si>
    <t>PER</t>
  </si>
  <si>
    <t>Pago WEB extra</t>
  </si>
  <si>
    <t>TC TITULAR</t>
  </si>
  <si>
    <t>TC ADICIONAL</t>
  </si>
  <si>
    <t>TC DIGITAL</t>
  </si>
  <si>
    <t>TC TSYS</t>
  </si>
  <si>
    <t>BITÁCORA DIARIA - MES ACTUAL (JUNIO)</t>
  </si>
  <si>
    <t>SEGUROS DESGRAVAMEN</t>
  </si>
  <si>
    <t>PLAN ZERO</t>
  </si>
  <si>
    <t>TARJETA DE CRÉDITO</t>
  </si>
  <si>
    <t>Día</t>
  </si>
  <si>
    <t>Fecha</t>
  </si>
  <si>
    <t>Nro. Op.</t>
  </si>
  <si>
    <t>Monto $</t>
  </si>
  <si>
    <t>% Cruce</t>
  </si>
  <si>
    <t>% Cruce PER</t>
  </si>
  <si>
    <t>Zero+TC</t>
  </si>
  <si>
    <t>Titular</t>
  </si>
  <si>
    <t>Adicional</t>
  </si>
  <si>
    <t>Digital</t>
  </si>
  <si>
    <t>TSYS</t>
  </si>
  <si>
    <t>Acumulado</t>
  </si>
  <si>
    <t>BITÁCORA DIARIA - MES ANTERIOR (MAYO)</t>
  </si>
  <si>
    <t>FACTURACIÓN Y PROYECCIÓN A FIN DE MES</t>
  </si>
  <si>
    <t>COMPARATIVO MES ANTERIOR vs PROYECCIÓN</t>
  </si>
  <si>
    <t>Q a la fecha</t>
  </si>
  <si>
    <t>Monto $ a la fecha</t>
  </si>
  <si>
    <t>Facturación S/IVA a la fecha</t>
  </si>
  <si>
    <t>Facturación C/IVA a la fecha</t>
  </si>
  <si>
    <t>Proyección Q fin de mes</t>
  </si>
  <si>
    <t>Proyección Facturación S/IVA</t>
  </si>
  <si>
    <t>Proyección Facturación C/IVA</t>
  </si>
  <si>
    <t>Mes Anterior (Mayo) C/IVA</t>
  </si>
  <si>
    <t>Proyección Mes Actual (Junio) C/IVA</t>
  </si>
  <si>
    <t>Δ Absoluto</t>
  </si>
  <si>
    <t>Δ %</t>
  </si>
  <si>
    <t>SUBTOTAL</t>
  </si>
  <si>
    <t>SUBTOTAL PRODUCTOS</t>
  </si>
  <si>
    <t>(+) Pago WEB extra</t>
  </si>
  <si>
    <t>(+) Pago WEB</t>
  </si>
  <si>
    <t>(+) Pago Backoffice</t>
  </si>
  <si>
    <t>TOTAL PROYECTADO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</si>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</sst>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[$$-340A]* #,##0_ ;_ [$$-340A]* \-#,##0_ ;_ [$$-340A]* &quot;-&quot;??_ ;_ @_ "/>
    <numFmt numFmtId="165" formatCode="mmm\-yyyy"/>
    <numFmt numFmtId="166" formatCode="0.000"/>
    <numFmt numFmtId="167" formatCode="d\-mmm"/>
    <numFmt numFmtId="168" formatCode="&quot;€&quot;#,##0;\(&quot;€&quot;#,##0\);\-"/>
    <numFmt numFmtId="169" formatCode="#,##0;\(#,##0\);\-"/>
    <numFmt numFmtId="170" formatCode="0.0%;\(0.0%\);\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B181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59595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1" fillId="0" borderId="0" xfId="0" applyFont="1"/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1" fillId="3" borderId="0" xfId="0" applyFont="1" applyFill="1" applyAlignment="1">
      <alignment horizontal="center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8" fillId="0" borderId="4" xfId="0" applyFont="1" applyBorder="1" applyAlignment="1">
      <alignment horizontal="left"/>
    </xf>
    <xf numFmtId="167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0" fontId="8" fillId="0" borderId="5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8" fontId="8" fillId="0" borderId="5" xfId="0" applyNumberFormat="1" applyFont="1" applyBorder="1" applyAlignment="1">
      <alignment horizontal="center"/>
    </xf>
    <xf numFmtId="0" fontId="0" fillId="4" borderId="7" xfId="0" applyFill="1" applyBorder="1"/>
    <xf numFmtId="0" fontId="1" fillId="4" borderId="8" xfId="0" applyFont="1" applyFill="1" applyBorder="1" applyAlignment="1">
      <alignment horizontal="right"/>
    </xf>
    <xf numFmtId="3" fontId="1" fillId="4" borderId="8" xfId="0" applyNumberFormat="1" applyFont="1" applyFill="1" applyBorder="1" applyAlignment="1">
      <alignment horizontal="right"/>
    </xf>
    <xf numFmtId="164" fontId="1" fillId="4" borderId="8" xfId="0" applyNumberFormat="1" applyFont="1" applyFill="1" applyBorder="1" applyAlignment="1">
      <alignment horizontal="right"/>
    </xf>
    <xf numFmtId="10" fontId="1" fillId="4" borderId="8" xfId="0" applyNumberFormat="1" applyFont="1" applyFill="1" applyBorder="1" applyAlignment="1">
      <alignment horizontal="right"/>
    </xf>
    <xf numFmtId="3" fontId="1" fillId="4" borderId="9" xfId="0" applyNumberFormat="1" applyFont="1" applyFill="1" applyBorder="1" applyAlignment="1">
      <alignment horizontal="right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168" fontId="1" fillId="4" borderId="8" xfId="0" applyNumberFormat="1" applyFont="1" applyFill="1" applyBorder="1" applyAlignment="1">
      <alignment horizontal="right"/>
    </xf>
    <xf numFmtId="0" fontId="9" fillId="2" borderId="0" xfId="0" applyFont="1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4" xfId="0" applyFont="1" applyBorder="1"/>
    <xf numFmtId="169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170" fontId="0" fillId="0" borderId="6" xfId="0" applyNumberFormat="1" applyBorder="1" applyAlignment="1">
      <alignment horizontal="right"/>
    </xf>
    <xf numFmtId="0" fontId="1" fillId="4" borderId="4" xfId="0" applyFont="1" applyFill="1" applyBorder="1"/>
    <xf numFmtId="169" fontId="1" fillId="4" borderId="5" xfId="0" applyNumberFormat="1" applyFont="1" applyFill="1" applyBorder="1" applyAlignment="1">
      <alignment horizontal="right"/>
    </xf>
    <xf numFmtId="164" fontId="1" fillId="4" borderId="5" xfId="0" applyNumberFormat="1" applyFont="1" applyFill="1" applyBorder="1" applyAlignment="1">
      <alignment horizontal="right"/>
    </xf>
    <xf numFmtId="164" fontId="1" fillId="4" borderId="6" xfId="0" applyNumberFormat="1" applyFont="1" applyFill="1" applyBorder="1" applyAlignment="1">
      <alignment horizontal="right"/>
    </xf>
    <xf numFmtId="170" fontId="1" fillId="4" borderId="6" xfId="0" applyNumberFormat="1" applyFont="1" applyFill="1" applyBorder="1" applyAlignment="1">
      <alignment horizontal="right"/>
    </xf>
    <xf numFmtId="164" fontId="0" fillId="0" borderId="5" xfId="0" applyNumberFormat="1" applyBorder="1"/>
    <xf numFmtId="164" fontId="0" fillId="0" borderId="6" xfId="0" applyNumberFormat="1" applyBorder="1"/>
    <xf numFmtId="0" fontId="0" fillId="0" borderId="6" xfId="0" applyBorder="1" applyAlignment="1">
      <alignment horizontal="right"/>
    </xf>
    <xf numFmtId="0" fontId="10" fillId="0" borderId="4" xfId="0" applyFont="1" applyBorder="1"/>
    <xf numFmtId="0" fontId="11" fillId="0" borderId="4" xfId="0" applyFont="1" applyBorder="1"/>
    <xf numFmtId="0" fontId="6" fillId="2" borderId="7" xfId="0" applyFont="1" applyFill="1" applyBorder="1"/>
    <xf numFmtId="0" fontId="0" fillId="0" borderId="8" xfId="0" applyBorder="1"/>
    <xf numFmtId="164" fontId="0" fillId="0" borderId="8" xfId="0" applyNumberFormat="1" applyBorder="1"/>
    <xf numFmtId="164" fontId="6" fillId="2" borderId="8" xfId="0" applyNumberFormat="1" applyFont="1" applyFill="1" applyBorder="1" applyAlignment="1">
      <alignment horizontal="right"/>
    </xf>
    <xf numFmtId="164" fontId="6" fillId="2" borderId="9" xfId="0" applyNumberFormat="1" applyFont="1" applyFill="1" applyBorder="1" applyAlignment="1">
      <alignment horizontal="right"/>
    </xf>
    <xf numFmtId="170" fontId="6" fillId="2" borderId="9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605_Seguimiento_Operaciones_02-06.xlsx" TargetMode="External"/><Relationship Id="rId2" Type="http://schemas.openxmlformats.org/officeDocument/2006/relationships/externalLinkPath" Target="https://fastcogroupchile-my.sharepoint.com/personal/clorcat_fastcogroup_com/Documents/Escritorio/202605_Seguimiento_Operaciones_02-06.xlsx" TargetMode="External"/><Relationship Id="rId1" Type="http://schemas.openxmlformats.org/officeDocument/2006/relationships/externalLinkPath" Target="/personal/clorcat_fastcogroup_com/Documents/Escritorio/202605_Seguimiento_Operaciones_02-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ámetros"/>
      <sheetName val="INPUTS_PROYECCION"/>
      <sheetName val="INPUTS_CG"/>
      <sheetName val="DETALLE"/>
      <sheetName val="Gestion Operacional"/>
      <sheetName val="Otros serv"/>
      <sheetName val="META MES"/>
      <sheetName val="FERIADOS"/>
      <sheetName val="FORMA DE PAGO"/>
      <sheetName val="MAPA"/>
      <sheetName val="Resumen Operacional"/>
      <sheetName val="OT"/>
      <sheetName val="Scotiabank_v2"/>
    </sheetNames>
    <sheetDataSet>
      <sheetData sheetId="0">
        <row r="5">
          <cell r="B5">
            <v>40543.07</v>
          </cell>
        </row>
        <row r="9">
          <cell r="B9">
            <v>46174</v>
          </cell>
        </row>
        <row r="10">
          <cell r="B10">
            <v>46143</v>
          </cell>
        </row>
        <row r="11">
          <cell r="B11">
            <v>21</v>
          </cell>
        </row>
        <row r="12">
          <cell r="B12">
            <v>19</v>
          </cell>
        </row>
        <row r="15">
          <cell r="B15">
            <v>8000000</v>
          </cell>
        </row>
        <row r="16">
          <cell r="B16">
            <v>10000000</v>
          </cell>
        </row>
        <row r="25">
          <cell r="B25">
            <v>0.32</v>
          </cell>
        </row>
        <row r="26">
          <cell r="B26">
            <v>0.26890756302521002</v>
          </cell>
        </row>
        <row r="27">
          <cell r="B27">
            <v>0.315</v>
          </cell>
        </row>
        <row r="28">
          <cell r="B28">
            <v>0.5</v>
          </cell>
        </row>
        <row r="29">
          <cell r="B29">
            <v>0.8</v>
          </cell>
        </row>
        <row r="30">
          <cell r="B30">
            <v>0.253781512605042</v>
          </cell>
        </row>
        <row r="31">
          <cell r="B31">
            <v>0.6</v>
          </cell>
        </row>
        <row r="32">
          <cell r="B32">
            <v>0.7</v>
          </cell>
        </row>
        <row r="33">
          <cell r="B33">
            <v>0.7</v>
          </cell>
        </row>
        <row r="34">
          <cell r="B3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C4EF-610E-4D53-8C87-3FA7F1238143}">
  <sheetPr>
    <tabColor rgb="FF7B1818"/>
  </sheetPr>
  <dimension ref="A1:R90"/>
  <sheetViews>
    <sheetView tabSelected="1" workbookViewId="0">
      <pane ySplit="2" topLeftCell="A3" activePane="bottomLeft" state="frozen"/>
      <selection pane="bottomLeft" activeCell="L4" sqref="L4:M9"/>
    </sheetView>
  </sheetViews>
  <sheetFormatPr baseColWidth="10" defaultRowHeight="15" x14ac:dyDescent="0.25"/>
  <cols>
    <col min="1" max="1" width="30.85546875" customWidth="1"/>
    <col min="2" max="2" width="14.28515625" customWidth="1"/>
    <col min="3" max="5" width="18.140625" customWidth="1"/>
    <col min="6" max="6" width="15.7109375" customWidth="1"/>
    <col min="7" max="9" width="18.140625" customWidth="1"/>
    <col min="10" max="10" width="25.7109375" customWidth="1"/>
    <col min="11" max="14" width="21" customWidth="1"/>
    <col min="15" max="18" width="13.28515625" customWidth="1"/>
  </cols>
  <sheetData>
    <row r="1" spans="1:13" ht="24" customHeight="1" x14ac:dyDescent="0.3">
      <c r="A1" s="1" t="s">
        <v>0</v>
      </c>
    </row>
    <row r="3" spans="1:13" x14ac:dyDescent="0.25">
      <c r="A3" s="2" t="s">
        <v>1</v>
      </c>
      <c r="E3" s="2" t="s">
        <v>2</v>
      </c>
    </row>
    <row r="4" spans="1:13" x14ac:dyDescent="0.25">
      <c r="A4" s="3" t="s">
        <v>3</v>
      </c>
      <c r="B4" s="4">
        <f>[1]Parámetros!B5</f>
        <v>40543.07</v>
      </c>
      <c r="C4" s="5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L4" t="s">
        <v>5</v>
      </c>
      <c r="M4" t="s">
        <v>6</v>
      </c>
    </row>
    <row r="5" spans="1:13" x14ac:dyDescent="0.25">
      <c r="A5" s="3" t="s">
        <v>11</v>
      </c>
      <c r="B5" s="7">
        <f>[1]Parámetros!B9</f>
        <v>46174</v>
      </c>
      <c r="C5" s="5" t="s">
        <v>12</v>
      </c>
      <c r="E5" t="s">
        <v>13</v>
      </c>
      <c r="F5">
        <v>1220005</v>
      </c>
      <c r="G5" s="8">
        <f>[1]Parámetros!B25</f>
        <v>0.32</v>
      </c>
      <c r="H5" s="9">
        <f t="shared" ref="H5:H14" si="0">G5*1.19</f>
        <v>0.38079999999999997</v>
      </c>
      <c r="I5" s="10">
        <f t="shared" ref="I5:J14" si="1">G5*$B$4</f>
        <v>12973.7824</v>
      </c>
      <c r="J5" s="10">
        <f t="shared" si="1"/>
        <v>15438.801055999998</v>
      </c>
      <c r="L5" t="s">
        <v>22</v>
      </c>
      <c r="M5">
        <v>1320030</v>
      </c>
    </row>
    <row r="6" spans="1:13" x14ac:dyDescent="0.25">
      <c r="A6" s="3" t="s">
        <v>14</v>
      </c>
      <c r="B6" s="7">
        <f>[1]Parámetros!B10</f>
        <v>46143</v>
      </c>
      <c r="E6" t="s">
        <v>15</v>
      </c>
      <c r="G6" s="8">
        <f>[1]Parámetros!B26</f>
        <v>0.26890756302521002</v>
      </c>
      <c r="H6" s="9">
        <f t="shared" si="0"/>
        <v>0.3199999999999999</v>
      </c>
      <c r="I6" s="10">
        <f t="shared" si="1"/>
        <v>10902.338151260501</v>
      </c>
      <c r="J6" s="10">
        <f t="shared" si="1"/>
        <v>12973.782399999996</v>
      </c>
      <c r="L6" t="s">
        <v>27</v>
      </c>
      <c r="M6">
        <v>1220056</v>
      </c>
    </row>
    <row r="7" spans="1:13" x14ac:dyDescent="0.25">
      <c r="A7" s="3" t="s">
        <v>16</v>
      </c>
      <c r="B7" s="11">
        <f>[1]Parámetros!B11</f>
        <v>21</v>
      </c>
      <c r="E7" t="s">
        <v>17</v>
      </c>
      <c r="F7">
        <v>1220007</v>
      </c>
      <c r="G7" s="8">
        <f>[1]Parámetros!B27</f>
        <v>0.315</v>
      </c>
      <c r="H7" s="9">
        <f t="shared" si="0"/>
        <v>0.37484999999999996</v>
      </c>
      <c r="I7" s="10">
        <f t="shared" si="1"/>
        <v>12771.06705</v>
      </c>
      <c r="J7" s="10">
        <f t="shared" si="1"/>
        <v>15197.569789499998</v>
      </c>
      <c r="L7" t="s">
        <v>26</v>
      </c>
      <c r="M7">
        <v>1220055</v>
      </c>
    </row>
    <row r="8" spans="1:13" x14ac:dyDescent="0.25">
      <c r="A8" s="3" t="s">
        <v>18</v>
      </c>
      <c r="B8" s="11">
        <f>[1]Parámetros!B12</f>
        <v>19</v>
      </c>
      <c r="E8" t="s">
        <v>19</v>
      </c>
      <c r="G8" s="8">
        <f>[1]Parámetros!B28</f>
        <v>0.5</v>
      </c>
      <c r="H8" s="9">
        <f t="shared" si="0"/>
        <v>0.59499999999999997</v>
      </c>
      <c r="I8" s="10">
        <f t="shared" si="1"/>
        <v>20271.535</v>
      </c>
      <c r="J8" s="10">
        <f t="shared" si="1"/>
        <v>24123.126649999998</v>
      </c>
      <c r="L8" t="s">
        <v>17</v>
      </c>
      <c r="M8">
        <v>1220007</v>
      </c>
    </row>
    <row r="9" spans="1:13" x14ac:dyDescent="0.25">
      <c r="A9" s="3" t="s">
        <v>20</v>
      </c>
      <c r="B9" s="12">
        <f>COUNTA(B23:B43)</f>
        <v>1</v>
      </c>
      <c r="C9" s="5" t="s">
        <v>21</v>
      </c>
      <c r="E9" t="s">
        <v>22</v>
      </c>
      <c r="F9">
        <v>1320030</v>
      </c>
      <c r="G9" s="8">
        <f>[1]Parámetros!B29</f>
        <v>0.8</v>
      </c>
      <c r="H9" s="9">
        <f t="shared" si="0"/>
        <v>0.95199999999999996</v>
      </c>
      <c r="I9" s="10">
        <f t="shared" si="1"/>
        <v>32434.456000000002</v>
      </c>
      <c r="J9" s="10">
        <f t="shared" si="1"/>
        <v>38597.002639999999</v>
      </c>
      <c r="L9" t="s">
        <v>13</v>
      </c>
      <c r="M9">
        <v>1220005</v>
      </c>
    </row>
    <row r="10" spans="1:13" x14ac:dyDescent="0.25">
      <c r="A10" s="3" t="s">
        <v>23</v>
      </c>
      <c r="B10" s="4">
        <f>[1]Parámetros!B15</f>
        <v>8000000</v>
      </c>
      <c r="E10" t="s">
        <v>24</v>
      </c>
      <c r="G10" s="8">
        <f>[1]Parámetros!B30</f>
        <v>0.253781512605042</v>
      </c>
      <c r="H10" s="9">
        <f t="shared" si="0"/>
        <v>0.30199999999999999</v>
      </c>
      <c r="I10" s="10">
        <f t="shared" si="1"/>
        <v>10289.0816302521</v>
      </c>
      <c r="J10" s="10">
        <f t="shared" si="1"/>
        <v>12244.00714</v>
      </c>
    </row>
    <row r="11" spans="1:13" x14ac:dyDescent="0.25">
      <c r="A11" s="3" t="s">
        <v>25</v>
      </c>
      <c r="B11" s="4">
        <f>[1]Parámetros!B16</f>
        <v>10000000</v>
      </c>
      <c r="E11" t="s">
        <v>26</v>
      </c>
      <c r="F11">
        <v>1220055</v>
      </c>
      <c r="G11" s="8">
        <f>[1]Parámetros!B31</f>
        <v>0.6</v>
      </c>
      <c r="H11" s="9">
        <f t="shared" si="0"/>
        <v>0.71399999999999997</v>
      </c>
      <c r="I11" s="10">
        <f t="shared" si="1"/>
        <v>24325.842000000001</v>
      </c>
      <c r="J11" s="10">
        <f t="shared" si="1"/>
        <v>28947.751979999997</v>
      </c>
    </row>
    <row r="12" spans="1:13" x14ac:dyDescent="0.25">
      <c r="E12" t="s">
        <v>27</v>
      </c>
      <c r="F12">
        <v>1220056</v>
      </c>
      <c r="G12" s="8">
        <f>[1]Parámetros!B32</f>
        <v>0.7</v>
      </c>
      <c r="H12" s="9">
        <f t="shared" si="0"/>
        <v>0.83299999999999996</v>
      </c>
      <c r="I12" s="10">
        <f t="shared" si="1"/>
        <v>28380.148999999998</v>
      </c>
      <c r="J12" s="10">
        <f t="shared" si="1"/>
        <v>33772.377309999996</v>
      </c>
    </row>
    <row r="13" spans="1:13" x14ac:dyDescent="0.25">
      <c r="E13" t="s">
        <v>28</v>
      </c>
      <c r="G13" s="8">
        <f>[1]Parámetros!B33</f>
        <v>0.7</v>
      </c>
      <c r="H13" s="9">
        <f t="shared" si="0"/>
        <v>0.83299999999999996</v>
      </c>
      <c r="I13" s="10">
        <f t="shared" si="1"/>
        <v>28380.148999999998</v>
      </c>
      <c r="J13" s="10">
        <f t="shared" si="1"/>
        <v>33772.377309999996</v>
      </c>
    </row>
    <row r="14" spans="1:13" x14ac:dyDescent="0.25">
      <c r="E14" t="s">
        <v>29</v>
      </c>
      <c r="G14" s="8">
        <f>[1]Parámetros!B34</f>
        <v>0</v>
      </c>
      <c r="H14" s="9">
        <f t="shared" si="0"/>
        <v>0</v>
      </c>
      <c r="I14" s="10">
        <f t="shared" si="1"/>
        <v>0</v>
      </c>
      <c r="J14" s="10">
        <f t="shared" si="1"/>
        <v>0</v>
      </c>
    </row>
    <row r="17" spans="1:18" x14ac:dyDescent="0.25">
      <c r="A17" s="13" t="s">
        <v>30</v>
      </c>
    </row>
    <row r="19" spans="1:18" x14ac:dyDescent="0.25">
      <c r="A19" s="14" t="s">
        <v>13</v>
      </c>
      <c r="E19" s="14" t="s">
        <v>31</v>
      </c>
      <c r="H19" s="14" t="s">
        <v>17</v>
      </c>
      <c r="J19" s="14" t="s">
        <v>32</v>
      </c>
      <c r="N19" s="14" t="s">
        <v>24</v>
      </c>
      <c r="O19" s="14" t="s">
        <v>33</v>
      </c>
    </row>
    <row r="21" spans="1:18" x14ac:dyDescent="0.25">
      <c r="A21" s="15" t="s">
        <v>34</v>
      </c>
      <c r="B21" s="16" t="s">
        <v>35</v>
      </c>
      <c r="C21" s="16" t="s">
        <v>36</v>
      </c>
      <c r="D21" s="16" t="s">
        <v>37</v>
      </c>
      <c r="E21" s="16" t="s">
        <v>36</v>
      </c>
      <c r="F21" s="16" t="s">
        <v>37</v>
      </c>
      <c r="G21" s="16" t="s">
        <v>38</v>
      </c>
      <c r="H21" s="16" t="s">
        <v>36</v>
      </c>
      <c r="I21" s="16" t="s">
        <v>37</v>
      </c>
      <c r="J21" s="16" t="s">
        <v>36</v>
      </c>
      <c r="K21" s="16" t="s">
        <v>24</v>
      </c>
      <c r="L21" s="16" t="s">
        <v>39</v>
      </c>
      <c r="M21" s="16" t="s">
        <v>40</v>
      </c>
      <c r="N21" s="16" t="s">
        <v>36</v>
      </c>
      <c r="O21" s="16" t="s">
        <v>41</v>
      </c>
      <c r="P21" s="16" t="s">
        <v>42</v>
      </c>
      <c r="Q21" s="16" t="s">
        <v>43</v>
      </c>
      <c r="R21" s="17" t="s">
        <v>44</v>
      </c>
    </row>
    <row r="22" spans="1:18" x14ac:dyDescent="0.25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</row>
    <row r="23" spans="1:18" x14ac:dyDescent="0.25">
      <c r="A23" s="21" t="str">
        <f t="shared" ref="A23:A43" si="2">IF(B23="","",TEXT(B23,"dddd"))</f>
        <v>lunes</v>
      </c>
      <c r="B23" s="22">
        <v>46174</v>
      </c>
      <c r="C23" s="23">
        <v>21</v>
      </c>
      <c r="D23" s="24">
        <v>103175000</v>
      </c>
      <c r="E23" s="23">
        <v>9</v>
      </c>
      <c r="F23" s="24">
        <v>73040</v>
      </c>
      <c r="G23" s="25">
        <v>0.42857142857142855</v>
      </c>
      <c r="H23" s="23">
        <v>27</v>
      </c>
      <c r="I23" s="24">
        <v>113386875</v>
      </c>
      <c r="J23" s="23">
        <v>5</v>
      </c>
      <c r="K23" s="23">
        <v>2</v>
      </c>
      <c r="L23" s="23">
        <v>0</v>
      </c>
      <c r="M23" s="23">
        <v>0</v>
      </c>
      <c r="N23" s="23">
        <v>4</v>
      </c>
      <c r="O23" s="23">
        <v>28</v>
      </c>
      <c r="P23" s="23">
        <v>8</v>
      </c>
      <c r="Q23" s="23">
        <v>0</v>
      </c>
      <c r="R23" s="26">
        <v>0</v>
      </c>
    </row>
    <row r="24" spans="1:18" x14ac:dyDescent="0.25">
      <c r="A24" s="21" t="str">
        <f t="shared" si="2"/>
        <v/>
      </c>
      <c r="B24" s="22"/>
      <c r="C24" s="23"/>
      <c r="D24" s="27"/>
      <c r="E24" s="23"/>
      <c r="F24" s="27"/>
      <c r="G24" s="25"/>
      <c r="H24" s="23"/>
      <c r="I24" s="27"/>
      <c r="J24" s="23"/>
      <c r="K24" s="23"/>
      <c r="L24" s="23"/>
      <c r="M24" s="23"/>
      <c r="N24" s="23"/>
      <c r="O24" s="23"/>
      <c r="P24" s="23"/>
      <c r="Q24" s="23"/>
      <c r="R24" s="26"/>
    </row>
    <row r="25" spans="1:18" x14ac:dyDescent="0.25">
      <c r="A25" s="21" t="str">
        <f t="shared" si="2"/>
        <v/>
      </c>
      <c r="B25" s="22"/>
      <c r="C25" s="23"/>
      <c r="D25" s="27"/>
      <c r="E25" s="23"/>
      <c r="F25" s="27"/>
      <c r="G25" s="25"/>
      <c r="H25" s="23"/>
      <c r="I25" s="27"/>
      <c r="J25" s="23"/>
      <c r="K25" s="23"/>
      <c r="L25" s="23"/>
      <c r="M25" s="23"/>
      <c r="N25" s="23"/>
      <c r="O25" s="23"/>
      <c r="P25" s="23"/>
      <c r="Q25" s="23"/>
      <c r="R25" s="26"/>
    </row>
    <row r="26" spans="1:18" x14ac:dyDescent="0.25">
      <c r="A26" s="21" t="str">
        <f t="shared" si="2"/>
        <v/>
      </c>
      <c r="B26" s="22"/>
      <c r="C26" s="23"/>
      <c r="D26" s="27"/>
      <c r="E26" s="23"/>
      <c r="F26" s="27"/>
      <c r="G26" s="25"/>
      <c r="H26" s="23"/>
      <c r="I26" s="27"/>
      <c r="J26" s="23"/>
      <c r="K26" s="23"/>
      <c r="L26" s="23"/>
      <c r="M26" s="23"/>
      <c r="N26" s="23"/>
      <c r="O26" s="23"/>
      <c r="P26" s="23"/>
      <c r="Q26" s="23"/>
      <c r="R26" s="26"/>
    </row>
    <row r="27" spans="1:18" x14ac:dyDescent="0.25">
      <c r="A27" s="21" t="str">
        <f t="shared" si="2"/>
        <v/>
      </c>
      <c r="B27" s="22"/>
      <c r="C27" s="23"/>
      <c r="D27" s="27"/>
      <c r="E27" s="23"/>
      <c r="F27" s="27"/>
      <c r="G27" s="25"/>
      <c r="H27" s="23"/>
      <c r="I27" s="27"/>
      <c r="J27" s="23"/>
      <c r="K27" s="23"/>
      <c r="L27" s="23"/>
      <c r="M27" s="23"/>
      <c r="N27" s="23"/>
      <c r="O27" s="23"/>
      <c r="P27" s="23"/>
      <c r="Q27" s="23"/>
      <c r="R27" s="26"/>
    </row>
    <row r="28" spans="1:18" x14ac:dyDescent="0.25">
      <c r="A28" s="21" t="str">
        <f t="shared" si="2"/>
        <v/>
      </c>
      <c r="B28" s="22"/>
      <c r="C28" s="23"/>
      <c r="D28" s="27"/>
      <c r="E28" s="23"/>
      <c r="F28" s="27"/>
      <c r="G28" s="25"/>
      <c r="H28" s="23"/>
      <c r="I28" s="27"/>
      <c r="J28" s="23"/>
      <c r="K28" s="23"/>
      <c r="L28" s="23"/>
      <c r="M28" s="23"/>
      <c r="N28" s="23"/>
      <c r="O28" s="23"/>
      <c r="P28" s="23"/>
      <c r="Q28" s="23"/>
      <c r="R28" s="26"/>
    </row>
    <row r="29" spans="1:18" x14ac:dyDescent="0.25">
      <c r="A29" s="21" t="str">
        <f t="shared" si="2"/>
        <v/>
      </c>
      <c r="B29" s="22"/>
      <c r="C29" s="23"/>
      <c r="D29" s="27"/>
      <c r="E29" s="23"/>
      <c r="F29" s="27"/>
      <c r="G29" s="25"/>
      <c r="H29" s="23"/>
      <c r="I29" s="27"/>
      <c r="J29" s="23"/>
      <c r="K29" s="23"/>
      <c r="L29" s="23"/>
      <c r="M29" s="23"/>
      <c r="N29" s="23"/>
      <c r="O29" s="23"/>
      <c r="P29" s="23"/>
      <c r="Q29" s="23"/>
      <c r="R29" s="26"/>
    </row>
    <row r="30" spans="1:18" x14ac:dyDescent="0.25">
      <c r="A30" s="21" t="str">
        <f t="shared" si="2"/>
        <v/>
      </c>
      <c r="B30" s="22"/>
      <c r="C30" s="23"/>
      <c r="D30" s="27"/>
      <c r="E30" s="23"/>
      <c r="F30" s="27"/>
      <c r="G30" s="25"/>
      <c r="H30" s="23"/>
      <c r="I30" s="27"/>
      <c r="J30" s="23"/>
      <c r="K30" s="23"/>
      <c r="L30" s="23"/>
      <c r="M30" s="23"/>
      <c r="N30" s="23"/>
      <c r="O30" s="23"/>
      <c r="P30" s="23"/>
      <c r="Q30" s="23"/>
      <c r="R30" s="26"/>
    </row>
    <row r="31" spans="1:18" x14ac:dyDescent="0.25">
      <c r="A31" s="21" t="str">
        <f t="shared" si="2"/>
        <v/>
      </c>
      <c r="B31" s="22"/>
      <c r="C31" s="23"/>
      <c r="D31" s="27"/>
      <c r="E31" s="23"/>
      <c r="F31" s="27"/>
      <c r="G31" s="25"/>
      <c r="H31" s="23"/>
      <c r="I31" s="27"/>
      <c r="J31" s="23"/>
      <c r="K31" s="23"/>
      <c r="L31" s="23"/>
      <c r="M31" s="23"/>
      <c r="N31" s="23"/>
      <c r="O31" s="23"/>
      <c r="P31" s="23"/>
      <c r="Q31" s="23"/>
      <c r="R31" s="26"/>
    </row>
    <row r="32" spans="1:18" x14ac:dyDescent="0.25">
      <c r="A32" s="21" t="str">
        <f t="shared" si="2"/>
        <v/>
      </c>
      <c r="B32" s="22"/>
      <c r="C32" s="23"/>
      <c r="D32" s="27"/>
      <c r="E32" s="23"/>
      <c r="F32" s="27"/>
      <c r="G32" s="25"/>
      <c r="H32" s="23"/>
      <c r="I32" s="27"/>
      <c r="J32" s="23"/>
      <c r="K32" s="23"/>
      <c r="L32" s="23"/>
      <c r="M32" s="23"/>
      <c r="N32" s="23"/>
      <c r="O32" s="23"/>
      <c r="P32" s="23"/>
      <c r="Q32" s="23"/>
      <c r="R32" s="26"/>
    </row>
    <row r="33" spans="1:18" x14ac:dyDescent="0.25">
      <c r="A33" s="21" t="str">
        <f t="shared" si="2"/>
        <v/>
      </c>
      <c r="B33" s="22"/>
      <c r="C33" s="23"/>
      <c r="D33" s="27"/>
      <c r="E33" s="23"/>
      <c r="F33" s="27"/>
      <c r="G33" s="25"/>
      <c r="H33" s="23"/>
      <c r="I33" s="27"/>
      <c r="J33" s="23"/>
      <c r="K33" s="23"/>
      <c r="L33" s="23"/>
      <c r="M33" s="23"/>
      <c r="N33" s="23"/>
      <c r="O33" s="23"/>
      <c r="P33" s="23"/>
      <c r="Q33" s="23"/>
      <c r="R33" s="26"/>
    </row>
    <row r="34" spans="1:18" x14ac:dyDescent="0.25">
      <c r="A34" s="21" t="str">
        <f t="shared" si="2"/>
        <v/>
      </c>
      <c r="B34" s="22"/>
      <c r="C34" s="23"/>
      <c r="D34" s="27"/>
      <c r="E34" s="23"/>
      <c r="F34" s="27"/>
      <c r="G34" s="25"/>
      <c r="H34" s="23"/>
      <c r="I34" s="27"/>
      <c r="J34" s="23"/>
      <c r="K34" s="23"/>
      <c r="L34" s="23"/>
      <c r="M34" s="23"/>
      <c r="N34" s="23"/>
      <c r="O34" s="23"/>
      <c r="P34" s="23"/>
      <c r="Q34" s="23"/>
      <c r="R34" s="26"/>
    </row>
    <row r="35" spans="1:18" x14ac:dyDescent="0.25">
      <c r="A35" s="21" t="str">
        <f t="shared" si="2"/>
        <v/>
      </c>
      <c r="B35" s="22"/>
      <c r="C35" s="23"/>
      <c r="D35" s="27"/>
      <c r="E35" s="23"/>
      <c r="F35" s="27"/>
      <c r="G35" s="25"/>
      <c r="H35" s="23"/>
      <c r="I35" s="27"/>
      <c r="J35" s="23"/>
      <c r="K35" s="23"/>
      <c r="L35" s="23"/>
      <c r="M35" s="23"/>
      <c r="N35" s="23"/>
      <c r="O35" s="23"/>
      <c r="P35" s="23"/>
      <c r="Q35" s="23"/>
      <c r="R35" s="26"/>
    </row>
    <row r="36" spans="1:18" x14ac:dyDescent="0.25">
      <c r="A36" s="21" t="str">
        <f t="shared" si="2"/>
        <v/>
      </c>
      <c r="B36" s="22"/>
      <c r="C36" s="23"/>
      <c r="D36" s="27"/>
      <c r="E36" s="23"/>
      <c r="F36" s="27"/>
      <c r="G36" s="25"/>
      <c r="H36" s="23"/>
      <c r="I36" s="27"/>
      <c r="J36" s="23"/>
      <c r="K36" s="23"/>
      <c r="L36" s="23"/>
      <c r="M36" s="23"/>
      <c r="N36" s="23"/>
      <c r="O36" s="23"/>
      <c r="P36" s="23"/>
      <c r="Q36" s="23"/>
      <c r="R36" s="26"/>
    </row>
    <row r="37" spans="1:18" x14ac:dyDescent="0.25">
      <c r="A37" s="21" t="str">
        <f t="shared" si="2"/>
        <v/>
      </c>
      <c r="B37" s="22"/>
      <c r="C37" s="23"/>
      <c r="D37" s="27"/>
      <c r="E37" s="23"/>
      <c r="F37" s="27"/>
      <c r="G37" s="25"/>
      <c r="H37" s="23"/>
      <c r="I37" s="27"/>
      <c r="J37" s="23"/>
      <c r="K37" s="23"/>
      <c r="L37" s="23"/>
      <c r="M37" s="23"/>
      <c r="N37" s="23"/>
      <c r="O37" s="23"/>
      <c r="P37" s="23"/>
      <c r="Q37" s="23"/>
      <c r="R37" s="26"/>
    </row>
    <row r="38" spans="1:18" x14ac:dyDescent="0.25">
      <c r="A38" s="21" t="str">
        <f t="shared" si="2"/>
        <v/>
      </c>
      <c r="B38" s="22"/>
      <c r="C38" s="23"/>
      <c r="D38" s="27"/>
      <c r="E38" s="23"/>
      <c r="F38" s="27"/>
      <c r="G38" s="25"/>
      <c r="H38" s="23"/>
      <c r="I38" s="27"/>
      <c r="J38" s="23"/>
      <c r="K38" s="23"/>
      <c r="L38" s="23"/>
      <c r="M38" s="23"/>
      <c r="N38" s="23"/>
      <c r="O38" s="23"/>
      <c r="P38" s="23"/>
      <c r="Q38" s="23"/>
      <c r="R38" s="26"/>
    </row>
    <row r="39" spans="1:18" x14ac:dyDescent="0.25">
      <c r="A39" s="21" t="str">
        <f t="shared" si="2"/>
        <v/>
      </c>
      <c r="B39" s="22"/>
      <c r="C39" s="23"/>
      <c r="D39" s="27"/>
      <c r="E39" s="23"/>
      <c r="F39" s="27"/>
      <c r="G39" s="25"/>
      <c r="H39" s="23"/>
      <c r="I39" s="27"/>
      <c r="J39" s="23"/>
      <c r="K39" s="23"/>
      <c r="L39" s="23"/>
      <c r="M39" s="23"/>
      <c r="N39" s="23"/>
      <c r="O39" s="23"/>
      <c r="P39" s="23"/>
      <c r="Q39" s="23"/>
      <c r="R39" s="26"/>
    </row>
    <row r="40" spans="1:18" x14ac:dyDescent="0.25">
      <c r="A40" s="21" t="str">
        <f t="shared" si="2"/>
        <v/>
      </c>
      <c r="B40" s="22"/>
      <c r="C40" s="23"/>
      <c r="D40" s="27"/>
      <c r="E40" s="23"/>
      <c r="F40" s="27"/>
      <c r="G40" s="25"/>
      <c r="H40" s="23"/>
      <c r="I40" s="27"/>
      <c r="J40" s="23"/>
      <c r="K40" s="23"/>
      <c r="L40" s="23"/>
      <c r="M40" s="23"/>
      <c r="N40" s="23"/>
      <c r="O40" s="23"/>
      <c r="P40" s="23"/>
      <c r="Q40" s="23"/>
      <c r="R40" s="26"/>
    </row>
    <row r="41" spans="1:18" x14ac:dyDescent="0.25">
      <c r="A41" s="21" t="str">
        <f t="shared" si="2"/>
        <v/>
      </c>
      <c r="B41" s="22"/>
      <c r="C41" s="23"/>
      <c r="D41" s="27"/>
      <c r="E41" s="23"/>
      <c r="F41" s="27"/>
      <c r="G41" s="25"/>
      <c r="H41" s="23"/>
      <c r="I41" s="27"/>
      <c r="J41" s="23"/>
      <c r="K41" s="23"/>
      <c r="L41" s="23"/>
      <c r="M41" s="23"/>
      <c r="N41" s="23"/>
      <c r="O41" s="23"/>
      <c r="P41" s="23"/>
      <c r="Q41" s="23"/>
      <c r="R41" s="26"/>
    </row>
    <row r="42" spans="1:18" x14ac:dyDescent="0.25">
      <c r="A42" s="21" t="str">
        <f t="shared" si="2"/>
        <v/>
      </c>
      <c r="B42" s="22"/>
      <c r="C42" s="23"/>
      <c r="D42" s="27"/>
      <c r="E42" s="23"/>
      <c r="F42" s="27"/>
      <c r="G42" s="25"/>
      <c r="H42" s="23"/>
      <c r="I42" s="27"/>
      <c r="J42" s="23"/>
      <c r="K42" s="23"/>
      <c r="L42" s="23"/>
      <c r="M42" s="23"/>
      <c r="N42" s="23"/>
      <c r="O42" s="23"/>
      <c r="P42" s="23"/>
      <c r="Q42" s="23"/>
      <c r="R42" s="26"/>
    </row>
    <row r="43" spans="1:18" x14ac:dyDescent="0.25">
      <c r="A43" s="21" t="str">
        <f t="shared" si="2"/>
        <v/>
      </c>
      <c r="B43" s="22"/>
      <c r="C43" s="23"/>
      <c r="D43" s="27"/>
      <c r="E43" s="23"/>
      <c r="F43" s="27"/>
      <c r="G43" s="25"/>
      <c r="H43" s="23"/>
      <c r="I43" s="27"/>
      <c r="J43" s="23"/>
      <c r="K43" s="23"/>
      <c r="L43" s="23"/>
      <c r="M43" s="23"/>
      <c r="N43" s="23"/>
      <c r="O43" s="23"/>
      <c r="P43" s="23"/>
      <c r="Q43" s="23"/>
      <c r="R43" s="26"/>
    </row>
    <row r="44" spans="1:18" x14ac:dyDescent="0.25">
      <c r="A44" s="28"/>
      <c r="B44" s="29" t="s">
        <v>45</v>
      </c>
      <c r="C44" s="30">
        <f>SUM(C23:C43)</f>
        <v>21</v>
      </c>
      <c r="D44" s="31">
        <f>SUM(D23:D43)</f>
        <v>103175000</v>
      </c>
      <c r="E44" s="30">
        <f>SUM(E23:E43)</f>
        <v>9</v>
      </c>
      <c r="F44" s="31">
        <f>SUM(F23:F43)</f>
        <v>73040</v>
      </c>
      <c r="G44" s="32">
        <f>IFERROR(AVERAGE(G23:G43),0)</f>
        <v>0.42857142857142855</v>
      </c>
      <c r="H44" s="30">
        <f t="shared" ref="H44:R44" si="3">SUM(H23:H43)</f>
        <v>27</v>
      </c>
      <c r="I44" s="31">
        <f t="shared" si="3"/>
        <v>113386875</v>
      </c>
      <c r="J44" s="30">
        <f t="shared" si="3"/>
        <v>5</v>
      </c>
      <c r="K44" s="30">
        <f t="shared" si="3"/>
        <v>2</v>
      </c>
      <c r="L44" s="30">
        <f t="shared" si="3"/>
        <v>0</v>
      </c>
      <c r="M44" s="30">
        <f t="shared" si="3"/>
        <v>0</v>
      </c>
      <c r="N44" s="30">
        <f t="shared" si="3"/>
        <v>4</v>
      </c>
      <c r="O44" s="30">
        <f t="shared" si="3"/>
        <v>28</v>
      </c>
      <c r="P44" s="30">
        <f t="shared" si="3"/>
        <v>8</v>
      </c>
      <c r="Q44" s="30">
        <f t="shared" si="3"/>
        <v>0</v>
      </c>
      <c r="R44" s="33">
        <f t="shared" si="3"/>
        <v>0</v>
      </c>
    </row>
    <row r="46" spans="1:18" x14ac:dyDescent="0.25">
      <c r="A46" s="34" t="s">
        <v>46</v>
      </c>
    </row>
    <row r="48" spans="1:18" x14ac:dyDescent="0.25">
      <c r="A48" s="35" t="s">
        <v>13</v>
      </c>
      <c r="E48" s="35" t="s">
        <v>31</v>
      </c>
      <c r="H48" s="35" t="s">
        <v>17</v>
      </c>
      <c r="J48" s="35" t="s">
        <v>32</v>
      </c>
      <c r="N48" s="35" t="s">
        <v>24</v>
      </c>
      <c r="O48" s="35" t="s">
        <v>33</v>
      </c>
    </row>
    <row r="50" spans="1:18" x14ac:dyDescent="0.25">
      <c r="A50" s="15" t="s">
        <v>34</v>
      </c>
      <c r="B50" s="16" t="s">
        <v>35</v>
      </c>
      <c r="C50" s="16" t="s">
        <v>36</v>
      </c>
      <c r="D50" s="16" t="s">
        <v>37</v>
      </c>
      <c r="E50" s="16" t="s">
        <v>36</v>
      </c>
      <c r="F50" s="16" t="s">
        <v>37</v>
      </c>
      <c r="G50" s="16" t="s">
        <v>38</v>
      </c>
      <c r="H50" s="16" t="s">
        <v>36</v>
      </c>
      <c r="I50" s="16" t="s">
        <v>37</v>
      </c>
      <c r="J50" s="16" t="s">
        <v>36</v>
      </c>
      <c r="K50" s="16" t="s">
        <v>24</v>
      </c>
      <c r="L50" s="16" t="s">
        <v>39</v>
      </c>
      <c r="M50" s="16" t="s">
        <v>40</v>
      </c>
      <c r="N50" s="16" t="s">
        <v>36</v>
      </c>
      <c r="O50" s="16" t="s">
        <v>41</v>
      </c>
      <c r="P50" s="16" t="s">
        <v>42</v>
      </c>
      <c r="Q50" s="16" t="s">
        <v>43</v>
      </c>
      <c r="R50" s="17" t="s">
        <v>44</v>
      </c>
    </row>
    <row r="51" spans="1:18" x14ac:dyDescent="0.25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</row>
    <row r="52" spans="1:18" x14ac:dyDescent="0.25">
      <c r="A52" s="21" t="str">
        <f t="shared" ref="A52:A70" si="4">IF(B52="","",TEXT(B52,"dddd"))</f>
        <v>lunes</v>
      </c>
      <c r="B52" s="22">
        <v>46146</v>
      </c>
      <c r="C52" s="23">
        <v>5</v>
      </c>
      <c r="D52" s="24">
        <v>12300000</v>
      </c>
      <c r="E52" s="23">
        <v>1</v>
      </c>
      <c r="F52" s="24">
        <v>8037</v>
      </c>
      <c r="G52" s="25">
        <v>0.2</v>
      </c>
      <c r="H52" s="23">
        <v>29</v>
      </c>
      <c r="I52" s="24">
        <v>100824384</v>
      </c>
      <c r="J52" s="23">
        <v>6</v>
      </c>
      <c r="K52" s="23">
        <v>1</v>
      </c>
      <c r="L52" s="23">
        <v>0</v>
      </c>
      <c r="M52" s="23">
        <v>0</v>
      </c>
      <c r="N52" s="23">
        <v>19</v>
      </c>
      <c r="O52" s="23">
        <v>8</v>
      </c>
      <c r="P52" s="23">
        <v>6</v>
      </c>
      <c r="Q52" s="23">
        <v>0</v>
      </c>
      <c r="R52" s="26">
        <v>0</v>
      </c>
    </row>
    <row r="53" spans="1:18" x14ac:dyDescent="0.25">
      <c r="A53" s="21" t="str">
        <f t="shared" si="4"/>
        <v>martes</v>
      </c>
      <c r="B53" s="22">
        <v>46147</v>
      </c>
      <c r="C53" s="23">
        <v>18</v>
      </c>
      <c r="D53" s="24">
        <v>54535000</v>
      </c>
      <c r="E53" s="23">
        <v>1</v>
      </c>
      <c r="F53" s="24">
        <v>8040</v>
      </c>
      <c r="G53" s="25">
        <v>5.5555555555555552E-2</v>
      </c>
      <c r="H53" s="23">
        <v>90</v>
      </c>
      <c r="I53" s="24">
        <v>353989572</v>
      </c>
      <c r="J53" s="23">
        <v>11</v>
      </c>
      <c r="K53" s="23">
        <v>3</v>
      </c>
      <c r="L53" s="23">
        <v>0</v>
      </c>
      <c r="M53" s="23">
        <v>0</v>
      </c>
      <c r="N53" s="23">
        <v>16</v>
      </c>
      <c r="O53" s="23">
        <v>85</v>
      </c>
      <c r="P53" s="23">
        <v>42</v>
      </c>
      <c r="Q53" s="23">
        <v>2</v>
      </c>
      <c r="R53" s="26">
        <v>0</v>
      </c>
    </row>
    <row r="54" spans="1:18" x14ac:dyDescent="0.25">
      <c r="A54" s="21" t="str">
        <f t="shared" si="4"/>
        <v>miércoles</v>
      </c>
      <c r="B54" s="22">
        <v>46148</v>
      </c>
      <c r="C54" s="23">
        <v>29</v>
      </c>
      <c r="D54" s="24">
        <v>80897000</v>
      </c>
      <c r="E54" s="23">
        <v>11</v>
      </c>
      <c r="F54" s="24">
        <v>88446</v>
      </c>
      <c r="G54" s="25">
        <v>0.37931034482758619</v>
      </c>
      <c r="H54" s="23">
        <v>98</v>
      </c>
      <c r="I54" s="24">
        <v>452034880</v>
      </c>
      <c r="J54" s="23">
        <v>6</v>
      </c>
      <c r="K54" s="23">
        <v>1</v>
      </c>
      <c r="L54" s="23">
        <v>0</v>
      </c>
      <c r="M54" s="23">
        <v>0</v>
      </c>
      <c r="N54" s="23">
        <v>7</v>
      </c>
      <c r="O54" s="23">
        <v>77</v>
      </c>
      <c r="P54" s="23">
        <v>68</v>
      </c>
      <c r="Q54" s="23">
        <v>1</v>
      </c>
      <c r="R54" s="26">
        <v>0</v>
      </c>
    </row>
    <row r="55" spans="1:18" x14ac:dyDescent="0.25">
      <c r="A55" s="21" t="str">
        <f t="shared" si="4"/>
        <v>jueves</v>
      </c>
      <c r="B55" s="22">
        <v>46149</v>
      </c>
      <c r="C55" s="23">
        <v>25</v>
      </c>
      <c r="D55" s="24">
        <v>90953782</v>
      </c>
      <c r="E55" s="23">
        <v>6</v>
      </c>
      <c r="F55" s="24">
        <v>48262</v>
      </c>
      <c r="G55" s="25">
        <v>0.24</v>
      </c>
      <c r="H55" s="23">
        <v>53</v>
      </c>
      <c r="I55" s="24">
        <v>166173662</v>
      </c>
      <c r="J55" s="23">
        <v>13</v>
      </c>
      <c r="K55" s="23">
        <v>4</v>
      </c>
      <c r="L55" s="23">
        <v>0</v>
      </c>
      <c r="M55" s="23">
        <v>0</v>
      </c>
      <c r="N55" s="23">
        <v>12</v>
      </c>
      <c r="O55" s="23">
        <v>49</v>
      </c>
      <c r="P55" s="23">
        <v>42</v>
      </c>
      <c r="Q55" s="23">
        <v>0</v>
      </c>
      <c r="R55" s="26">
        <v>0</v>
      </c>
    </row>
    <row r="56" spans="1:18" x14ac:dyDescent="0.25">
      <c r="A56" s="21" t="str">
        <f t="shared" si="4"/>
        <v>viernes</v>
      </c>
      <c r="B56" s="22">
        <v>46150</v>
      </c>
      <c r="C56" s="23">
        <v>16</v>
      </c>
      <c r="D56" s="24">
        <v>50309000</v>
      </c>
      <c r="E56" s="23">
        <v>6</v>
      </c>
      <c r="F56" s="24">
        <v>48270</v>
      </c>
      <c r="G56" s="25">
        <v>0.375</v>
      </c>
      <c r="H56" s="23">
        <v>94</v>
      </c>
      <c r="I56" s="24">
        <v>366459783</v>
      </c>
      <c r="J56" s="23">
        <v>11</v>
      </c>
      <c r="K56" s="23">
        <v>4</v>
      </c>
      <c r="L56" s="23">
        <v>0</v>
      </c>
      <c r="M56" s="23">
        <v>0</v>
      </c>
      <c r="N56" s="23">
        <v>10</v>
      </c>
      <c r="O56" s="23">
        <v>34</v>
      </c>
      <c r="P56" s="23">
        <v>41</v>
      </c>
      <c r="Q56" s="23">
        <v>1</v>
      </c>
      <c r="R56" s="26">
        <v>0</v>
      </c>
    </row>
    <row r="57" spans="1:18" x14ac:dyDescent="0.25">
      <c r="A57" s="21" t="str">
        <f t="shared" si="4"/>
        <v>lunes</v>
      </c>
      <c r="B57" s="22">
        <v>46153</v>
      </c>
      <c r="C57" s="23">
        <v>18</v>
      </c>
      <c r="D57" s="24">
        <v>70200000</v>
      </c>
      <c r="E57" s="23">
        <v>7</v>
      </c>
      <c r="F57" s="24">
        <v>56376</v>
      </c>
      <c r="G57" s="25">
        <v>0.3888888888888889</v>
      </c>
      <c r="H57" s="23">
        <v>89</v>
      </c>
      <c r="I57" s="24">
        <v>230182745</v>
      </c>
      <c r="J57" s="23">
        <v>8</v>
      </c>
      <c r="K57" s="23">
        <v>0</v>
      </c>
      <c r="L57" s="23">
        <v>0</v>
      </c>
      <c r="M57" s="23">
        <v>0</v>
      </c>
      <c r="N57" s="23">
        <v>10</v>
      </c>
      <c r="O57" s="23">
        <v>34</v>
      </c>
      <c r="P57" s="23">
        <v>38</v>
      </c>
      <c r="Q57" s="23">
        <v>0</v>
      </c>
      <c r="R57" s="26">
        <v>0</v>
      </c>
    </row>
    <row r="58" spans="1:18" x14ac:dyDescent="0.25">
      <c r="A58" s="21" t="str">
        <f t="shared" si="4"/>
        <v>martes</v>
      </c>
      <c r="B58" s="22">
        <v>46154</v>
      </c>
      <c r="C58" s="23">
        <v>19</v>
      </c>
      <c r="D58" s="24">
        <v>82295000</v>
      </c>
      <c r="E58" s="23">
        <v>5</v>
      </c>
      <c r="F58" s="24">
        <v>40288</v>
      </c>
      <c r="G58" s="25">
        <v>0.26315789473684209</v>
      </c>
      <c r="H58" s="23">
        <v>107</v>
      </c>
      <c r="I58" s="24">
        <v>499025555</v>
      </c>
      <c r="J58" s="23">
        <v>8</v>
      </c>
      <c r="K58" s="23">
        <v>4</v>
      </c>
      <c r="L58" s="23">
        <v>0</v>
      </c>
      <c r="M58" s="23">
        <v>0</v>
      </c>
      <c r="N58" s="23">
        <v>4</v>
      </c>
      <c r="O58" s="23">
        <v>58</v>
      </c>
      <c r="P58" s="23">
        <v>42</v>
      </c>
      <c r="Q58" s="23">
        <v>0</v>
      </c>
      <c r="R58" s="26">
        <v>0</v>
      </c>
    </row>
    <row r="59" spans="1:18" x14ac:dyDescent="0.25">
      <c r="A59" s="21" t="str">
        <f t="shared" si="4"/>
        <v>miércoles</v>
      </c>
      <c r="B59" s="22">
        <v>46155</v>
      </c>
      <c r="C59" s="23">
        <v>10</v>
      </c>
      <c r="D59" s="24">
        <v>40630000</v>
      </c>
      <c r="E59" s="23">
        <v>2</v>
      </c>
      <c r="F59" s="24">
        <v>16126</v>
      </c>
      <c r="G59" s="25">
        <v>0.2</v>
      </c>
      <c r="H59" s="23">
        <v>96</v>
      </c>
      <c r="I59" s="24">
        <v>421754162</v>
      </c>
      <c r="J59" s="23">
        <v>12</v>
      </c>
      <c r="K59" s="23">
        <v>5</v>
      </c>
      <c r="L59" s="23">
        <v>0</v>
      </c>
      <c r="M59" s="23">
        <v>0</v>
      </c>
      <c r="N59" s="23">
        <v>11</v>
      </c>
      <c r="O59" s="23">
        <v>39</v>
      </c>
      <c r="P59" s="23">
        <v>24</v>
      </c>
      <c r="Q59" s="23">
        <v>1</v>
      </c>
      <c r="R59" s="26">
        <v>0</v>
      </c>
    </row>
    <row r="60" spans="1:18" x14ac:dyDescent="0.25">
      <c r="A60" s="21" t="str">
        <f t="shared" si="4"/>
        <v>jueves</v>
      </c>
      <c r="B60" s="22">
        <v>46156</v>
      </c>
      <c r="C60" s="23">
        <v>13</v>
      </c>
      <c r="D60" s="24">
        <v>40579000</v>
      </c>
      <c r="E60" s="23">
        <v>5</v>
      </c>
      <c r="F60" s="24">
        <v>40318</v>
      </c>
      <c r="G60" s="25">
        <v>0.38461538461538464</v>
      </c>
      <c r="H60" s="23">
        <v>79</v>
      </c>
      <c r="I60" s="24">
        <v>267057708</v>
      </c>
      <c r="J60" s="23">
        <v>12</v>
      </c>
      <c r="K60" s="23">
        <v>2</v>
      </c>
      <c r="L60" s="23">
        <v>0</v>
      </c>
      <c r="M60" s="23">
        <v>0</v>
      </c>
      <c r="N60" s="23">
        <v>3</v>
      </c>
      <c r="O60" s="23">
        <v>24</v>
      </c>
      <c r="P60" s="23">
        <v>27</v>
      </c>
      <c r="Q60" s="23">
        <v>0</v>
      </c>
      <c r="R60" s="26">
        <v>0</v>
      </c>
    </row>
    <row r="61" spans="1:18" x14ac:dyDescent="0.25">
      <c r="A61" s="21" t="str">
        <f t="shared" si="4"/>
        <v>viernes</v>
      </c>
      <c r="B61" s="22">
        <v>46157</v>
      </c>
      <c r="C61" s="23">
        <v>17</v>
      </c>
      <c r="D61" s="24">
        <v>45820000</v>
      </c>
      <c r="E61" s="23">
        <v>4</v>
      </c>
      <c r="F61" s="24">
        <v>32299</v>
      </c>
      <c r="G61" s="25">
        <v>0.23529411764705882</v>
      </c>
      <c r="H61" s="23">
        <v>83</v>
      </c>
      <c r="I61" s="24">
        <v>309204912</v>
      </c>
      <c r="J61" s="23">
        <v>10</v>
      </c>
      <c r="K61" s="23">
        <v>1</v>
      </c>
      <c r="L61" s="23">
        <v>0</v>
      </c>
      <c r="M61" s="23">
        <v>0</v>
      </c>
      <c r="N61" s="23">
        <v>4</v>
      </c>
      <c r="O61" s="23">
        <v>32</v>
      </c>
      <c r="P61" s="23">
        <v>32</v>
      </c>
      <c r="Q61" s="23">
        <v>0</v>
      </c>
      <c r="R61" s="26">
        <v>0</v>
      </c>
    </row>
    <row r="62" spans="1:18" x14ac:dyDescent="0.25">
      <c r="A62" s="21" t="str">
        <f t="shared" si="4"/>
        <v>lunes</v>
      </c>
      <c r="B62" s="22">
        <v>46160</v>
      </c>
      <c r="C62" s="23">
        <v>21</v>
      </c>
      <c r="D62" s="24">
        <v>97850000</v>
      </c>
      <c r="E62" s="23">
        <v>8</v>
      </c>
      <c r="F62" s="24">
        <v>64626</v>
      </c>
      <c r="G62" s="25">
        <v>0.38095238095238093</v>
      </c>
      <c r="H62" s="23">
        <v>76</v>
      </c>
      <c r="I62" s="24">
        <v>314841008</v>
      </c>
      <c r="J62" s="23">
        <v>10</v>
      </c>
      <c r="K62" s="23">
        <v>5</v>
      </c>
      <c r="L62" s="23">
        <v>0</v>
      </c>
      <c r="M62" s="23">
        <v>0</v>
      </c>
      <c r="N62" s="23">
        <v>4</v>
      </c>
      <c r="O62" s="23">
        <v>33</v>
      </c>
      <c r="P62" s="23">
        <v>27</v>
      </c>
      <c r="Q62" s="23">
        <v>0</v>
      </c>
      <c r="R62" s="26">
        <v>0</v>
      </c>
    </row>
    <row r="63" spans="1:18" x14ac:dyDescent="0.25">
      <c r="A63" s="21" t="str">
        <f t="shared" si="4"/>
        <v>martes</v>
      </c>
      <c r="B63" s="22">
        <v>46161</v>
      </c>
      <c r="C63" s="23">
        <v>12</v>
      </c>
      <c r="D63" s="24">
        <v>32080000</v>
      </c>
      <c r="E63" s="23">
        <v>3</v>
      </c>
      <c r="F63" s="24">
        <v>24246</v>
      </c>
      <c r="G63" s="25">
        <v>0.25</v>
      </c>
      <c r="H63" s="23">
        <v>85</v>
      </c>
      <c r="I63" s="24">
        <v>340454337</v>
      </c>
      <c r="J63" s="23">
        <v>8</v>
      </c>
      <c r="K63" s="23">
        <v>5</v>
      </c>
      <c r="L63" s="23">
        <v>0</v>
      </c>
      <c r="M63" s="23">
        <v>0</v>
      </c>
      <c r="N63" s="23">
        <v>4</v>
      </c>
      <c r="O63" s="23">
        <v>39</v>
      </c>
      <c r="P63" s="23">
        <v>32</v>
      </c>
      <c r="Q63" s="23">
        <v>0</v>
      </c>
      <c r="R63" s="26">
        <v>0</v>
      </c>
    </row>
    <row r="64" spans="1:18" x14ac:dyDescent="0.25">
      <c r="A64" s="21" t="str">
        <f t="shared" si="4"/>
        <v>miércoles</v>
      </c>
      <c r="B64" s="22">
        <v>46162</v>
      </c>
      <c r="C64" s="23">
        <v>9</v>
      </c>
      <c r="D64" s="24">
        <v>19550000</v>
      </c>
      <c r="E64" s="23">
        <v>3</v>
      </c>
      <c r="F64" s="24">
        <v>25255</v>
      </c>
      <c r="G64" s="25">
        <v>0.33333333333333331</v>
      </c>
      <c r="H64" s="23">
        <v>67</v>
      </c>
      <c r="I64" s="24">
        <v>233017804</v>
      </c>
      <c r="J64" s="23">
        <v>2</v>
      </c>
      <c r="K64" s="23">
        <v>1</v>
      </c>
      <c r="L64" s="23">
        <v>0</v>
      </c>
      <c r="M64" s="23">
        <v>0</v>
      </c>
      <c r="N64" s="23">
        <v>1</v>
      </c>
      <c r="O64" s="23">
        <v>16</v>
      </c>
      <c r="P64" s="23">
        <v>29</v>
      </c>
      <c r="Q64" s="23">
        <v>0</v>
      </c>
      <c r="R64" s="26">
        <v>0</v>
      </c>
    </row>
    <row r="65" spans="1:18" x14ac:dyDescent="0.25">
      <c r="A65" s="21" t="str">
        <f t="shared" si="4"/>
        <v>viernes</v>
      </c>
      <c r="B65" s="22">
        <v>46164</v>
      </c>
      <c r="C65" s="23">
        <v>20</v>
      </c>
      <c r="D65" s="24">
        <v>70978000</v>
      </c>
      <c r="E65" s="23">
        <v>2</v>
      </c>
      <c r="F65" s="24">
        <v>16204</v>
      </c>
      <c r="G65" s="25">
        <v>0.1</v>
      </c>
      <c r="H65" s="23">
        <v>58</v>
      </c>
      <c r="I65" s="24">
        <v>282425651</v>
      </c>
      <c r="J65" s="23">
        <v>4</v>
      </c>
      <c r="K65" s="23">
        <v>1</v>
      </c>
      <c r="L65" s="23">
        <v>0</v>
      </c>
      <c r="M65" s="23">
        <v>0</v>
      </c>
      <c r="N65" s="23">
        <v>2</v>
      </c>
      <c r="O65" s="23">
        <v>23</v>
      </c>
      <c r="P65" s="23">
        <v>32</v>
      </c>
      <c r="Q65" s="23">
        <v>0</v>
      </c>
      <c r="R65" s="26">
        <v>0</v>
      </c>
    </row>
    <row r="66" spans="1:18" x14ac:dyDescent="0.25">
      <c r="A66" s="21" t="str">
        <f t="shared" si="4"/>
        <v>lunes</v>
      </c>
      <c r="B66" s="22">
        <v>46167</v>
      </c>
      <c r="C66" s="23">
        <v>32</v>
      </c>
      <c r="D66" s="24">
        <v>107647500</v>
      </c>
      <c r="E66" s="23">
        <v>8</v>
      </c>
      <c r="F66" s="24">
        <v>64816</v>
      </c>
      <c r="G66" s="25">
        <v>0.25</v>
      </c>
      <c r="H66" s="23">
        <v>49</v>
      </c>
      <c r="I66" s="24">
        <v>184148739</v>
      </c>
      <c r="J66" s="23">
        <v>5</v>
      </c>
      <c r="K66" s="23">
        <v>1</v>
      </c>
      <c r="L66" s="23">
        <v>0</v>
      </c>
      <c r="M66" s="23">
        <v>0</v>
      </c>
      <c r="N66" s="23">
        <v>1</v>
      </c>
      <c r="O66" s="23">
        <v>16</v>
      </c>
      <c r="P66" s="23">
        <v>23</v>
      </c>
      <c r="Q66" s="23">
        <v>0</v>
      </c>
      <c r="R66" s="26">
        <v>0</v>
      </c>
    </row>
    <row r="67" spans="1:18" x14ac:dyDescent="0.25">
      <c r="A67" s="21" t="str">
        <f t="shared" si="4"/>
        <v>martes</v>
      </c>
      <c r="B67" s="22">
        <v>46168</v>
      </c>
      <c r="C67" s="23">
        <v>42</v>
      </c>
      <c r="D67" s="24">
        <v>184490000</v>
      </c>
      <c r="E67" s="23">
        <v>19</v>
      </c>
      <c r="F67" s="24">
        <v>151014</v>
      </c>
      <c r="G67" s="25">
        <v>0.45238095238095238</v>
      </c>
      <c r="H67" s="23">
        <v>72</v>
      </c>
      <c r="I67" s="24">
        <v>439210545</v>
      </c>
      <c r="J67" s="23">
        <v>5</v>
      </c>
      <c r="K67" s="23">
        <v>2</v>
      </c>
      <c r="L67" s="23">
        <v>0</v>
      </c>
      <c r="M67" s="23">
        <v>0</v>
      </c>
      <c r="N67" s="23">
        <v>7</v>
      </c>
      <c r="O67" s="23">
        <v>25</v>
      </c>
      <c r="P67" s="23">
        <v>30</v>
      </c>
      <c r="Q67" s="23">
        <v>1</v>
      </c>
      <c r="R67" s="26">
        <v>0</v>
      </c>
    </row>
    <row r="68" spans="1:18" x14ac:dyDescent="0.25">
      <c r="A68" s="21" t="str">
        <f t="shared" si="4"/>
        <v>miércoles</v>
      </c>
      <c r="B68" s="22">
        <v>46169</v>
      </c>
      <c r="C68" s="23">
        <v>37</v>
      </c>
      <c r="D68" s="24">
        <v>143155000</v>
      </c>
      <c r="E68" s="23">
        <v>12</v>
      </c>
      <c r="F68" s="24">
        <v>97317</v>
      </c>
      <c r="G68" s="25">
        <v>0.32432432432432434</v>
      </c>
      <c r="H68" s="23">
        <v>155</v>
      </c>
      <c r="I68" s="24">
        <v>1020624928</v>
      </c>
      <c r="J68" s="23">
        <v>8</v>
      </c>
      <c r="K68" s="23">
        <v>1</v>
      </c>
      <c r="L68" s="23">
        <v>0</v>
      </c>
      <c r="M68" s="23">
        <v>0</v>
      </c>
      <c r="N68" s="23">
        <v>6</v>
      </c>
      <c r="O68" s="23">
        <v>25</v>
      </c>
      <c r="P68" s="23">
        <v>27</v>
      </c>
      <c r="Q68" s="23">
        <v>0</v>
      </c>
      <c r="R68" s="26">
        <v>0</v>
      </c>
    </row>
    <row r="69" spans="1:18" x14ac:dyDescent="0.25">
      <c r="A69" s="21" t="str">
        <f t="shared" si="4"/>
        <v>jueves</v>
      </c>
      <c r="B69" s="22">
        <v>46170</v>
      </c>
      <c r="C69" s="23">
        <v>41</v>
      </c>
      <c r="D69" s="24">
        <v>172288000</v>
      </c>
      <c r="E69" s="23">
        <v>17</v>
      </c>
      <c r="F69" s="24">
        <v>137904</v>
      </c>
      <c r="G69" s="25">
        <v>0.41463414634146339</v>
      </c>
      <c r="H69" s="23">
        <v>138</v>
      </c>
      <c r="I69" s="24">
        <v>657313837</v>
      </c>
      <c r="J69" s="23">
        <v>5</v>
      </c>
      <c r="K69" s="23">
        <v>0</v>
      </c>
      <c r="L69" s="23">
        <v>0</v>
      </c>
      <c r="M69" s="23">
        <v>0</v>
      </c>
      <c r="N69" s="23">
        <v>5</v>
      </c>
      <c r="O69" s="23">
        <v>23</v>
      </c>
      <c r="P69" s="23">
        <v>40</v>
      </c>
      <c r="Q69" s="23">
        <v>0</v>
      </c>
      <c r="R69" s="26">
        <v>0</v>
      </c>
    </row>
    <row r="70" spans="1:18" x14ac:dyDescent="0.25">
      <c r="A70" s="21" t="str">
        <f t="shared" si="4"/>
        <v>viernes</v>
      </c>
      <c r="B70" s="22">
        <v>46171</v>
      </c>
      <c r="C70" s="23">
        <v>71</v>
      </c>
      <c r="D70" s="24">
        <v>262829000</v>
      </c>
      <c r="E70" s="23">
        <v>18</v>
      </c>
      <c r="F70" s="24">
        <v>146022</v>
      </c>
      <c r="G70" s="25">
        <v>0.25352112676056338</v>
      </c>
      <c r="H70" s="23">
        <v>164</v>
      </c>
      <c r="I70" s="24">
        <v>757027849</v>
      </c>
      <c r="J70" s="23">
        <v>4</v>
      </c>
      <c r="K70" s="23">
        <v>1</v>
      </c>
      <c r="L70" s="23">
        <v>0</v>
      </c>
      <c r="M70" s="23">
        <v>0</v>
      </c>
      <c r="N70" s="23">
        <v>3</v>
      </c>
      <c r="O70" s="23">
        <v>71</v>
      </c>
      <c r="P70" s="23">
        <v>57</v>
      </c>
      <c r="Q70" s="23">
        <v>0</v>
      </c>
      <c r="R70" s="26">
        <v>0</v>
      </c>
    </row>
    <row r="71" spans="1:18" x14ac:dyDescent="0.25">
      <c r="A71" s="28"/>
      <c r="B71" s="29" t="s">
        <v>45</v>
      </c>
      <c r="C71" s="30">
        <f>SUM(C52:C70)</f>
        <v>455</v>
      </c>
      <c r="D71" s="31">
        <f>SUM(D52:D70)</f>
        <v>1659386282</v>
      </c>
      <c r="E71" s="30">
        <f>SUM(E52:E70)</f>
        <v>138</v>
      </c>
      <c r="F71" s="31">
        <f>SUM(F52:F70)</f>
        <v>1113866</v>
      </c>
      <c r="G71" s="32">
        <f>IFERROR(AVERAGE(G52:G70),0)</f>
        <v>0.28847202370338604</v>
      </c>
      <c r="H71" s="30">
        <f t="shared" ref="H71:R71" si="5">SUM(H52:H70)</f>
        <v>1682</v>
      </c>
      <c r="I71" s="36">
        <f t="shared" si="5"/>
        <v>7395772061</v>
      </c>
      <c r="J71" s="30">
        <f t="shared" si="5"/>
        <v>148</v>
      </c>
      <c r="K71" s="30">
        <f t="shared" si="5"/>
        <v>42</v>
      </c>
      <c r="L71" s="30">
        <f t="shared" si="5"/>
        <v>0</v>
      </c>
      <c r="M71" s="30">
        <f t="shared" si="5"/>
        <v>0</v>
      </c>
      <c r="N71" s="30">
        <f t="shared" si="5"/>
        <v>129</v>
      </c>
      <c r="O71" s="30">
        <f t="shared" si="5"/>
        <v>711</v>
      </c>
      <c r="P71" s="30">
        <f t="shared" si="5"/>
        <v>659</v>
      </c>
      <c r="Q71" s="30">
        <f t="shared" si="5"/>
        <v>6</v>
      </c>
      <c r="R71" s="33">
        <f t="shared" si="5"/>
        <v>0</v>
      </c>
    </row>
    <row r="73" spans="1:18" ht="15.75" x14ac:dyDescent="0.25">
      <c r="A73" s="37" t="s">
        <v>47</v>
      </c>
      <c r="J73" s="37" t="s">
        <v>48</v>
      </c>
    </row>
    <row r="75" spans="1:18" x14ac:dyDescent="0.25">
      <c r="A75" s="38" t="s">
        <v>5</v>
      </c>
      <c r="B75" s="39" t="s">
        <v>49</v>
      </c>
      <c r="C75" s="39" t="s">
        <v>50</v>
      </c>
      <c r="D75" s="39" t="s">
        <v>51</v>
      </c>
      <c r="E75" s="39" t="s">
        <v>52</v>
      </c>
      <c r="F75" s="39" t="s">
        <v>53</v>
      </c>
      <c r="G75" s="39" t="s">
        <v>54</v>
      </c>
      <c r="H75" s="40" t="s">
        <v>55</v>
      </c>
      <c r="J75" s="38" t="s">
        <v>5</v>
      </c>
      <c r="K75" s="39" t="s">
        <v>56</v>
      </c>
      <c r="L75" s="39" t="s">
        <v>57</v>
      </c>
      <c r="M75" s="39" t="s">
        <v>58</v>
      </c>
      <c r="N75" s="40" t="s">
        <v>59</v>
      </c>
    </row>
    <row r="76" spans="1:18" x14ac:dyDescent="0.25">
      <c r="A76" s="41" t="s">
        <v>13</v>
      </c>
      <c r="B76" s="42">
        <f>C44</f>
        <v>21</v>
      </c>
      <c r="C76" s="43">
        <f>D44</f>
        <v>103175000</v>
      </c>
      <c r="D76" s="43">
        <f t="shared" ref="D76:D85" si="6">B76*I5</f>
        <v>272449.43040000001</v>
      </c>
      <c r="E76" s="43">
        <f t="shared" ref="E76:E85" si="7">B76*J5</f>
        <v>324214.82217599999</v>
      </c>
      <c r="F76" s="43">
        <f t="shared" ref="F76:F85" si="8">IFERROR(B76/$B$9*$B$7,0)</f>
        <v>441</v>
      </c>
      <c r="G76" s="43">
        <f t="shared" ref="G76:G85" si="9">F76*I5</f>
        <v>5721438.0384</v>
      </c>
      <c r="H76" s="44">
        <f t="shared" ref="H76:H85" si="10">F76*J5</f>
        <v>6808511.2656959994</v>
      </c>
      <c r="J76" s="41" t="s">
        <v>13</v>
      </c>
      <c r="K76" s="43">
        <f>C71*J5</f>
        <v>7024654.4804799994</v>
      </c>
      <c r="L76" s="43">
        <f t="shared" ref="L76:L85" si="11">H76</f>
        <v>6808511.2656959994</v>
      </c>
      <c r="M76" s="43">
        <f t="shared" ref="M76:M86" si="12">L76-K76</f>
        <v>-216143.21478400007</v>
      </c>
      <c r="N76" s="45">
        <f t="shared" ref="N76:N86" si="13">IFERROR(M76/K76,0)</f>
        <v>-3.0769230769230781E-2</v>
      </c>
    </row>
    <row r="77" spans="1:18" x14ac:dyDescent="0.25">
      <c r="A77" s="41" t="s">
        <v>15</v>
      </c>
      <c r="B77" s="42">
        <f>E44</f>
        <v>9</v>
      </c>
      <c r="C77" s="43">
        <f>F44</f>
        <v>73040</v>
      </c>
      <c r="D77" s="43">
        <f t="shared" si="6"/>
        <v>98121.043361344506</v>
      </c>
      <c r="E77" s="43">
        <f t="shared" si="7"/>
        <v>116764.04159999997</v>
      </c>
      <c r="F77" s="43">
        <f t="shared" si="8"/>
        <v>189</v>
      </c>
      <c r="G77" s="43">
        <f t="shared" si="9"/>
        <v>2060541.9105882347</v>
      </c>
      <c r="H77" s="44">
        <f t="shared" si="10"/>
        <v>2452044.8735999991</v>
      </c>
      <c r="J77" s="41" t="s">
        <v>15</v>
      </c>
      <c r="K77" s="43">
        <f>E71*J6</f>
        <v>1790381.9711999996</v>
      </c>
      <c r="L77" s="43">
        <f t="shared" si="11"/>
        <v>2452044.8735999991</v>
      </c>
      <c r="M77" s="43">
        <f t="shared" si="12"/>
        <v>661662.90239999956</v>
      </c>
      <c r="N77" s="45">
        <f t="shared" si="13"/>
        <v>0.36956521739130421</v>
      </c>
    </row>
    <row r="78" spans="1:18" x14ac:dyDescent="0.25">
      <c r="A78" s="41" t="s">
        <v>17</v>
      </c>
      <c r="B78" s="42">
        <f>H44</f>
        <v>27</v>
      </c>
      <c r="C78" s="43">
        <f>I44</f>
        <v>113386875</v>
      </c>
      <c r="D78" s="43">
        <f t="shared" si="6"/>
        <v>344818.81034999999</v>
      </c>
      <c r="E78" s="43">
        <f t="shared" si="7"/>
        <v>410334.38431649993</v>
      </c>
      <c r="F78" s="43">
        <f t="shared" si="8"/>
        <v>567</v>
      </c>
      <c r="G78" s="43">
        <f t="shared" si="9"/>
        <v>7241195.0173499994</v>
      </c>
      <c r="H78" s="44">
        <f t="shared" si="10"/>
        <v>8617022.0706464984</v>
      </c>
      <c r="J78" s="41" t="s">
        <v>17</v>
      </c>
      <c r="K78" s="43">
        <f>H71*J7</f>
        <v>25562312.385938995</v>
      </c>
      <c r="L78" s="43">
        <f t="shared" si="11"/>
        <v>8617022.0706464984</v>
      </c>
      <c r="M78" s="43">
        <f t="shared" si="12"/>
        <v>-16945290.315292496</v>
      </c>
      <c r="N78" s="45">
        <f t="shared" si="13"/>
        <v>-0.66290130796670632</v>
      </c>
    </row>
    <row r="79" spans="1:18" x14ac:dyDescent="0.25">
      <c r="A79" s="41" t="s">
        <v>19</v>
      </c>
      <c r="B79" s="42">
        <f>J44</f>
        <v>5</v>
      </c>
      <c r="C79" s="43"/>
      <c r="D79" s="43">
        <f t="shared" si="6"/>
        <v>101357.675</v>
      </c>
      <c r="E79" s="43">
        <f t="shared" si="7"/>
        <v>120615.63324999998</v>
      </c>
      <c r="F79" s="43">
        <f t="shared" si="8"/>
        <v>105</v>
      </c>
      <c r="G79" s="43">
        <f t="shared" si="9"/>
        <v>2128511.1749999998</v>
      </c>
      <c r="H79" s="44">
        <f t="shared" si="10"/>
        <v>2532928.29825</v>
      </c>
      <c r="J79" s="41" t="s">
        <v>19</v>
      </c>
      <c r="K79" s="43">
        <f>J71*J8</f>
        <v>3570222.7441999996</v>
      </c>
      <c r="L79" s="43">
        <f t="shared" si="11"/>
        <v>2532928.29825</v>
      </c>
      <c r="M79" s="43">
        <f t="shared" si="12"/>
        <v>-1037294.4459499996</v>
      </c>
      <c r="N79" s="45">
        <f t="shared" si="13"/>
        <v>-0.29054054054054046</v>
      </c>
    </row>
    <row r="80" spans="1:18" x14ac:dyDescent="0.25">
      <c r="A80" s="41" t="s">
        <v>22</v>
      </c>
      <c r="B80" s="42">
        <f>K44</f>
        <v>2</v>
      </c>
      <c r="C80" s="43"/>
      <c r="D80" s="43">
        <f t="shared" si="6"/>
        <v>64868.912000000004</v>
      </c>
      <c r="E80" s="43">
        <f t="shared" si="7"/>
        <v>77194.005279999998</v>
      </c>
      <c r="F80" s="43">
        <f t="shared" si="8"/>
        <v>42</v>
      </c>
      <c r="G80" s="43">
        <f t="shared" si="9"/>
        <v>1362247.152</v>
      </c>
      <c r="H80" s="44">
        <f t="shared" si="10"/>
        <v>1621074.1108800001</v>
      </c>
      <c r="J80" s="41" t="s">
        <v>22</v>
      </c>
      <c r="K80" s="43">
        <f>K71*J9</f>
        <v>1621074.1108800001</v>
      </c>
      <c r="L80" s="43">
        <f t="shared" si="11"/>
        <v>1621074.1108800001</v>
      </c>
      <c r="M80" s="43">
        <f t="shared" si="12"/>
        <v>0</v>
      </c>
      <c r="N80" s="45">
        <f t="shared" si="13"/>
        <v>0</v>
      </c>
    </row>
    <row r="81" spans="1:14" x14ac:dyDescent="0.25">
      <c r="A81" s="41" t="s">
        <v>24</v>
      </c>
      <c r="B81" s="42">
        <f>N44</f>
        <v>4</v>
      </c>
      <c r="C81" s="43"/>
      <c r="D81" s="43">
        <f t="shared" si="6"/>
        <v>41156.326521008399</v>
      </c>
      <c r="E81" s="43">
        <f t="shared" si="7"/>
        <v>48976.028559999999</v>
      </c>
      <c r="F81" s="43">
        <f t="shared" si="8"/>
        <v>84</v>
      </c>
      <c r="G81" s="43">
        <f t="shared" si="9"/>
        <v>864282.85694117635</v>
      </c>
      <c r="H81" s="44">
        <f t="shared" si="10"/>
        <v>1028496.59976</v>
      </c>
      <c r="J81" s="41" t="s">
        <v>24</v>
      </c>
      <c r="K81" s="43">
        <f>N71*J10</f>
        <v>1579476.9210599998</v>
      </c>
      <c r="L81" s="43">
        <f t="shared" si="11"/>
        <v>1028496.59976</v>
      </c>
      <c r="M81" s="43">
        <f t="shared" si="12"/>
        <v>-550980.32129999984</v>
      </c>
      <c r="N81" s="45">
        <f t="shared" si="13"/>
        <v>-0.34883720930232553</v>
      </c>
    </row>
    <row r="82" spans="1:14" x14ac:dyDescent="0.25">
      <c r="A82" s="41" t="s">
        <v>26</v>
      </c>
      <c r="B82" s="42">
        <f>O44</f>
        <v>28</v>
      </c>
      <c r="C82" s="43"/>
      <c r="D82" s="43">
        <f t="shared" si="6"/>
        <v>681123.576</v>
      </c>
      <c r="E82" s="43">
        <f t="shared" si="7"/>
        <v>810537.05543999991</v>
      </c>
      <c r="F82" s="43">
        <f t="shared" si="8"/>
        <v>588</v>
      </c>
      <c r="G82" s="43">
        <f t="shared" si="9"/>
        <v>14303595.096000001</v>
      </c>
      <c r="H82" s="44">
        <f t="shared" si="10"/>
        <v>17021278.164239999</v>
      </c>
      <c r="J82" s="41" t="s">
        <v>26</v>
      </c>
      <c r="K82" s="43">
        <f>O71*J11</f>
        <v>20581851.657779999</v>
      </c>
      <c r="L82" s="43">
        <f t="shared" si="11"/>
        <v>17021278.164239999</v>
      </c>
      <c r="M82" s="43">
        <f t="shared" si="12"/>
        <v>-3560573.4935400002</v>
      </c>
      <c r="N82" s="45">
        <f t="shared" si="13"/>
        <v>-0.17299578059071732</v>
      </c>
    </row>
    <row r="83" spans="1:14" x14ac:dyDescent="0.25">
      <c r="A83" s="41" t="s">
        <v>27</v>
      </c>
      <c r="B83" s="42">
        <f>P44</f>
        <v>8</v>
      </c>
      <c r="C83" s="43"/>
      <c r="D83" s="43">
        <f t="shared" si="6"/>
        <v>227041.19199999998</v>
      </c>
      <c r="E83" s="43">
        <f t="shared" si="7"/>
        <v>270179.01847999997</v>
      </c>
      <c r="F83" s="43">
        <f t="shared" si="8"/>
        <v>168</v>
      </c>
      <c r="G83" s="43">
        <f t="shared" si="9"/>
        <v>4767865.0319999997</v>
      </c>
      <c r="H83" s="44">
        <f t="shared" si="10"/>
        <v>5673759.388079999</v>
      </c>
      <c r="J83" s="41" t="s">
        <v>27</v>
      </c>
      <c r="K83" s="43">
        <f>P71*J12</f>
        <v>22255996.647289999</v>
      </c>
      <c r="L83" s="43">
        <f t="shared" si="11"/>
        <v>5673759.388079999</v>
      </c>
      <c r="M83" s="43">
        <f t="shared" si="12"/>
        <v>-16582237.25921</v>
      </c>
      <c r="N83" s="45">
        <f t="shared" si="13"/>
        <v>-0.74506828528072844</v>
      </c>
    </row>
    <row r="84" spans="1:14" x14ac:dyDescent="0.25">
      <c r="A84" s="41" t="s">
        <v>28</v>
      </c>
      <c r="B84" s="42">
        <f>Q44</f>
        <v>0</v>
      </c>
      <c r="C84" s="43"/>
      <c r="D84" s="43">
        <f t="shared" si="6"/>
        <v>0</v>
      </c>
      <c r="E84" s="43">
        <f t="shared" si="7"/>
        <v>0</v>
      </c>
      <c r="F84" s="43">
        <f t="shared" si="8"/>
        <v>0</v>
      </c>
      <c r="G84" s="43">
        <f t="shared" si="9"/>
        <v>0</v>
      </c>
      <c r="H84" s="44">
        <f t="shared" si="10"/>
        <v>0</v>
      </c>
      <c r="J84" s="41" t="s">
        <v>28</v>
      </c>
      <c r="K84" s="43">
        <f>Q71*J13</f>
        <v>202634.26385999998</v>
      </c>
      <c r="L84" s="43">
        <f t="shared" si="11"/>
        <v>0</v>
      </c>
      <c r="M84" s="43">
        <f t="shared" si="12"/>
        <v>-202634.26385999998</v>
      </c>
      <c r="N84" s="45">
        <f t="shared" si="13"/>
        <v>-1</v>
      </c>
    </row>
    <row r="85" spans="1:14" x14ac:dyDescent="0.25">
      <c r="A85" s="41" t="s">
        <v>29</v>
      </c>
      <c r="B85" s="42">
        <f>R44</f>
        <v>0</v>
      </c>
      <c r="C85" s="43"/>
      <c r="D85" s="43">
        <f t="shared" si="6"/>
        <v>0</v>
      </c>
      <c r="E85" s="43">
        <f t="shared" si="7"/>
        <v>0</v>
      </c>
      <c r="F85" s="43">
        <f t="shared" si="8"/>
        <v>0</v>
      </c>
      <c r="G85" s="43">
        <f t="shared" si="9"/>
        <v>0</v>
      </c>
      <c r="H85" s="44">
        <f t="shared" si="10"/>
        <v>0</v>
      </c>
      <c r="J85" s="41" t="s">
        <v>29</v>
      </c>
      <c r="K85" s="43">
        <f>R71*J14</f>
        <v>0</v>
      </c>
      <c r="L85" s="43">
        <f t="shared" si="11"/>
        <v>0</v>
      </c>
      <c r="M85" s="43">
        <f t="shared" si="12"/>
        <v>0</v>
      </c>
      <c r="N85" s="45">
        <f t="shared" si="13"/>
        <v>0</v>
      </c>
    </row>
    <row r="86" spans="1:14" x14ac:dyDescent="0.25">
      <c r="A86" s="46" t="s">
        <v>60</v>
      </c>
      <c r="B86" s="47">
        <f t="shared" ref="B86:H86" si="14">SUM(B76:B85)</f>
        <v>104</v>
      </c>
      <c r="C86" s="48">
        <f t="shared" si="14"/>
        <v>216634915</v>
      </c>
      <c r="D86" s="48">
        <f t="shared" si="14"/>
        <v>1830936.965632353</v>
      </c>
      <c r="E86" s="48">
        <f t="shared" si="14"/>
        <v>2178814.9891025</v>
      </c>
      <c r="F86" s="48">
        <f t="shared" si="14"/>
        <v>2184</v>
      </c>
      <c r="G86" s="48">
        <f t="shared" si="14"/>
        <v>38449676.278279401</v>
      </c>
      <c r="H86" s="49">
        <f t="shared" si="14"/>
        <v>45755114.771152496</v>
      </c>
      <c r="J86" s="46" t="s">
        <v>61</v>
      </c>
      <c r="K86" s="48">
        <f>SUM(K76:K85)</f>
        <v>84188605.182688996</v>
      </c>
      <c r="L86" s="48">
        <f>SUM(L76:L85)</f>
        <v>45755114.771152496</v>
      </c>
      <c r="M86" s="48">
        <f t="shared" si="12"/>
        <v>-38433490.4115365</v>
      </c>
      <c r="N86" s="50">
        <f t="shared" si="13"/>
        <v>-0.45651653603401499</v>
      </c>
    </row>
    <row r="87" spans="1:14" x14ac:dyDescent="0.25">
      <c r="A87" s="18"/>
      <c r="B87" s="19"/>
      <c r="C87" s="19"/>
      <c r="D87" s="51"/>
      <c r="E87" s="51"/>
      <c r="F87" s="51"/>
      <c r="G87" s="51"/>
      <c r="H87" s="52"/>
      <c r="J87" s="18"/>
      <c r="K87" s="43"/>
      <c r="L87" s="43"/>
      <c r="M87" s="43"/>
      <c r="N87" s="53"/>
    </row>
    <row r="88" spans="1:14" x14ac:dyDescent="0.25">
      <c r="A88" s="54" t="s">
        <v>62</v>
      </c>
      <c r="B88" s="19"/>
      <c r="C88" s="19"/>
      <c r="D88" s="51"/>
      <c r="E88" s="51"/>
      <c r="F88" s="51"/>
      <c r="G88" s="43">
        <f>$B$11</f>
        <v>10000000</v>
      </c>
      <c r="H88" s="44">
        <f>$B$11</f>
        <v>10000000</v>
      </c>
      <c r="J88" s="54" t="s">
        <v>63</v>
      </c>
      <c r="K88" s="43">
        <f>$B$11</f>
        <v>10000000</v>
      </c>
      <c r="L88" s="43">
        <f>$B$11</f>
        <v>10000000</v>
      </c>
      <c r="M88" s="43">
        <f>L88-K88</f>
        <v>0</v>
      </c>
      <c r="N88" s="53"/>
    </row>
    <row r="89" spans="1:14" x14ac:dyDescent="0.25">
      <c r="A89" s="55" t="s">
        <v>64</v>
      </c>
      <c r="B89" s="19"/>
      <c r="C89" s="19"/>
      <c r="D89" s="51"/>
      <c r="E89" s="51"/>
      <c r="F89" s="51"/>
      <c r="G89" s="43">
        <f>$B$10</f>
        <v>8000000</v>
      </c>
      <c r="H89" s="44">
        <f>$B$10</f>
        <v>8000000</v>
      </c>
      <c r="J89" s="55" t="s">
        <v>64</v>
      </c>
      <c r="K89" s="43">
        <f>$B$10</f>
        <v>8000000</v>
      </c>
      <c r="L89" s="43">
        <f>$B$10</f>
        <v>8000000</v>
      </c>
      <c r="M89" s="43">
        <f>L89-K89</f>
        <v>0</v>
      </c>
      <c r="N89" s="53"/>
    </row>
    <row r="90" spans="1:14" x14ac:dyDescent="0.25">
      <c r="A90" s="56" t="s">
        <v>65</v>
      </c>
      <c r="B90" s="57"/>
      <c r="C90" s="57"/>
      <c r="D90" s="58"/>
      <c r="E90" s="58"/>
      <c r="F90" s="58"/>
      <c r="G90" s="59">
        <f>G86+G88+G89</f>
        <v>56449676.278279401</v>
      </c>
      <c r="H90" s="60">
        <f>H86+H88+H89</f>
        <v>63755114.771152496</v>
      </c>
      <c r="J90" s="56" t="s">
        <v>66</v>
      </c>
      <c r="K90" s="59">
        <f>K86+K88+K89</f>
        <v>102188605.182689</v>
      </c>
      <c r="L90" s="59">
        <f>L86+L88+L89</f>
        <v>63755114.771152496</v>
      </c>
      <c r="M90" s="59">
        <f>L90-K90</f>
        <v>-38433490.4115365</v>
      </c>
      <c r="N90" s="61">
        <f>IFERROR(M90/K90,0)</f>
        <v>-0.37610348377714453</v>
      </c>
    </row>
  </sheetData>
  <sortState xmlns:xlrd2="http://schemas.microsoft.com/office/spreadsheetml/2017/richdata2" ref="L5:M12">
    <sortCondition descending="1" ref="M4:M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Lorca Toledo</dc:creator>
  <cp:lastModifiedBy>Carlos Lorca Toledo</cp:lastModifiedBy>
  <dcterms:created xsi:type="dcterms:W3CDTF">2026-06-03T15:53:30Z</dcterms:created>
  <dcterms:modified xsi:type="dcterms:W3CDTF">2026-06-03T16:19:44Z</dcterms:modified>
</cp:coreProperties>
</file>